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A:\2015-02\"/>
    </mc:Choice>
  </mc:AlternateContent>
  <bookViews>
    <workbookView xWindow="0" yWindow="0" windowWidth="20490" windowHeight="7695" activeTab="2"/>
  </bookViews>
  <sheets>
    <sheet name="Readings" sheetId="2" r:id="rId1"/>
    <sheet name="Overtime" sheetId="3" r:id="rId2"/>
    <sheet name="Results" sheetId="4" r:id="rId3"/>
    <sheet name="Settings" sheetId="5" r:id="rId4"/>
    <sheet name="Ranges" sheetId="6" state="hidden" r:id="rId5"/>
    <sheet name="Sheet1" sheetId="1" state="hidden" r:id="rId6"/>
  </sheets>
  <functionGroups builtInGroupCount="18"/>
  <externalReferences>
    <externalReference r:id="rId7"/>
  </externalReferences>
  <definedNames>
    <definedName name="Day28List">Ranges!$F$2:$F$29</definedName>
    <definedName name="Day29List">Ranges!$E$2:$E$30</definedName>
    <definedName name="Day30List">Ranges!$D$2:$D$31</definedName>
    <definedName name="Day31List">Ranges!$C$2:$C$32</definedName>
    <definedName name="MonthList">Ranges!$B$2:$B$13</definedName>
    <definedName name="_xlnm.Print_Area" localSheetId="1">Overtime!$A:$H</definedName>
    <definedName name="_xlnm.Print_Area" localSheetId="0">Readings!#REF!</definedName>
    <definedName name="_xlnm.Print_Area" localSheetId="2">Results!$A$1:$N$42</definedName>
    <definedName name="_xlnm.Print_Titles" localSheetId="1">Overtime!$1:$2</definedName>
    <definedName name="_xlnm.Print_Titles" localSheetId="0">Readings!#REF!</definedName>
    <definedName name="YearList">Ranges!$A$2:$A$13</definedName>
  </definedNames>
  <calcPr calcId="152511"/>
</workbook>
</file>

<file path=xl/calcChain.xml><?xml version="1.0" encoding="utf-8"?>
<calcChain xmlns="http://schemas.openxmlformats.org/spreadsheetml/2006/main">
  <c r="L36" i="4" l="1"/>
  <c r="L37" i="4" s="1"/>
  <c r="G4" i="4"/>
  <c r="G3" i="4"/>
  <c r="M37" i="4"/>
  <c r="M36" i="4"/>
  <c r="N36" i="4"/>
  <c r="N37" i="4" s="1"/>
  <c r="L35" i="4"/>
  <c r="L34" i="4"/>
  <c r="L33" i="4"/>
  <c r="L32" i="4"/>
  <c r="L31" i="4"/>
  <c r="L30" i="4"/>
  <c r="L29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H49" i="3"/>
  <c r="D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F2" i="2"/>
  <c r="D2" i="2"/>
  <c r="I2" i="3" l="1"/>
</calcChain>
</file>

<file path=xl/sharedStrings.xml><?xml version="1.0" encoding="utf-8"?>
<sst xmlns="http://schemas.openxmlformats.org/spreadsheetml/2006/main" count="328" uniqueCount="87">
  <si>
    <t>Record Readings</t>
  </si>
  <si>
    <t>STAFF ID</t>
  </si>
  <si>
    <t>Count</t>
  </si>
  <si>
    <t>Valid</t>
  </si>
  <si>
    <t>Time</t>
  </si>
  <si>
    <t>Machine</t>
  </si>
  <si>
    <t>Status</t>
  </si>
  <si>
    <t>Considered</t>
  </si>
  <si>
    <t>Overtime Approval Sheet</t>
  </si>
  <si>
    <t>呂慧蓉</t>
  </si>
  <si>
    <t>Date</t>
  </si>
  <si>
    <t>Start</t>
  </si>
  <si>
    <t>End</t>
  </si>
  <si>
    <t>Overtime</t>
  </si>
  <si>
    <t>Found</t>
  </si>
  <si>
    <t>Weight</t>
  </si>
  <si>
    <t>AUTO</t>
  </si>
  <si>
    <t>BEFORE</t>
  </si>
  <si>
    <t>AFTER</t>
  </si>
  <si>
    <t>Lunch</t>
  </si>
  <si>
    <t>Worked Day(s)</t>
  </si>
  <si>
    <t>VERSION</t>
  </si>
  <si>
    <t>Expect</t>
  </si>
  <si>
    <t>Overtimed Day(s)</t>
  </si>
  <si>
    <t>Records</t>
  </si>
  <si>
    <t xml:space="preserve"> Time1</t>
  </si>
  <si>
    <t>Time2</t>
  </si>
  <si>
    <t>Worked</t>
  </si>
  <si>
    <t>Holiday</t>
  </si>
  <si>
    <t>Attendance Calculator settings</t>
  </si>
  <si>
    <t>File</t>
  </si>
  <si>
    <t>A:\attendance.mdb</t>
  </si>
  <si>
    <t>Location of Database. DO NOT CHANGE THIS UNLESS YOU KNOW WHAT YOU ARE DOING!</t>
  </si>
  <si>
    <t>When will the work begin (H:m)</t>
  </si>
  <si>
    <t>When will the work end (H:m)</t>
  </si>
  <si>
    <t>How long for the lunch / intermediated breaks (in minutes)</t>
  </si>
  <si>
    <t>Significance</t>
  </si>
  <si>
    <t>How long will a delay or overtime be considered (in minutes)</t>
  </si>
  <si>
    <t>Interval</t>
  </si>
  <si>
    <t>How long will a new point be considered (in minutes),to prevent repetition</t>
  </si>
  <si>
    <t>Overtime approval range (in minutes), any overtimes under this will receive automatic approval(subject to significance), also -1 means automatically allowing all and 0 means manual overtime approval only</t>
  </si>
  <si>
    <t>Id</t>
  </si>
  <si>
    <t>Same as the incoming database</t>
  </si>
  <si>
    <t>Name</t>
  </si>
  <si>
    <t>Name easy to remember</t>
  </si>
  <si>
    <t>Version</t>
  </si>
  <si>
    <t>1.0 Issue: Overnight Count is not supported, but it is required (last day of month). Data Read Button Disappears after filitering. LHS of Results Sheet cannot render style correctly</t>
  </si>
  <si>
    <t>1.1 Solved: Data Rad Button Disappears after filitering is used.  LHS of Results Sheet cannot render styling correctly</t>
  </si>
  <si>
    <t>1.1 Added: Overnight Count is now supported</t>
  </si>
  <si>
    <t>1.1 Issue: Some day has been skipped</t>
  </si>
  <si>
    <t>1.1 Issue: USERID cannot identify the actual user</t>
  </si>
  <si>
    <t>1.1 Issue: Negative Time calculation when data is insufficiently provided</t>
  </si>
  <si>
    <t>1.1 FUTURE Improvement: Record contains Entry or Exit records only</t>
  </si>
  <si>
    <t>1.2 Solved: USERID cannot identify the actual user</t>
  </si>
  <si>
    <t>1.2 Solved: Valid Exit is included for clearer Overnight Count, this is to prevent day skipping</t>
  </si>
  <si>
    <t>1.2 Solved: Negative Time calculation when data is insufficiently provided</t>
  </si>
  <si>
    <t>1.2 FUTURE Improvement: Count Holiday Hours</t>
  </si>
  <si>
    <t>1.3 Added: Simple Holiday Count</t>
  </si>
  <si>
    <t>1.3 Issue: Duplicated Record regarded as Valid</t>
  </si>
  <si>
    <t>1.3 Issue: Under Data, selection of 102 and December 2014, the read function returns "refine month selection"</t>
    <phoneticPr fontId="0" type="noConversion"/>
  </si>
  <si>
    <t>Cause: Manual Data Entries cause the system believe the cursor enters a different month zone. (Manual Data entered in the first few days of next month, hence this difference renders the issue)</t>
    <phoneticPr fontId="0" type="noConversion"/>
  </si>
  <si>
    <t>1.4 ADDED: Staff Name Display, CHANGED: Bottom Work Hour is shown as two decimal points, ADDED: 2XX entries processing, CHANGED: entries have either Entry or Exit only, ADDED: Invalid Entry Mitigation for single machine logging</t>
  </si>
  <si>
    <t xml:space="preserve">1.4 Provision: ComboBox for later version </t>
  </si>
  <si>
    <t>1.5 ADDED: id and date entry is defined by setting and reading sheet respectively, users are no longer required to access data sheet anymore</t>
  </si>
  <si>
    <t>1.5 ADDED: Reading sheet is shown upon startup ( if there is no security limitation)</t>
  </si>
  <si>
    <t>1.5 FIXED: Overtime Count is covering the correct column</t>
  </si>
  <si>
    <t>1.6 ADDED: Auto new row for insufficient day counts (default entry only)</t>
  </si>
  <si>
    <t>1.6 ADDED: Overtime worksheet introduced</t>
  </si>
  <si>
    <t xml:space="preserve">1.6 ADDED: Button workflow arranged. Business Solely operations are proceeded  by using provided buttons </t>
  </si>
  <si>
    <t>1.6 FUTURE: Truncate the raw reception, as it is a bit too large (about 2.7mb)</t>
  </si>
  <si>
    <t>2.0 FIXED: File size issue, the majority file size is contributed by Results Sheet</t>
  </si>
  <si>
    <t>2.0 ADDED: Specialised dialog added for date range selection</t>
  </si>
  <si>
    <t>2.0 CHANGED: Date range selection is bounded by month only</t>
  </si>
  <si>
    <t>2.0 FUTURE: Invalidate correct but invalid records.</t>
  </si>
  <si>
    <t>3.0 ADDED: EXCEL-REST Completed included</t>
  </si>
  <si>
    <t>Year</t>
  </si>
  <si>
    <t>Month</t>
  </si>
  <si>
    <t>Day31</t>
  </si>
  <si>
    <t>Day30</t>
  </si>
  <si>
    <t>Day29</t>
  </si>
  <si>
    <t>Day28</t>
  </si>
  <si>
    <t>Exit</t>
  </si>
  <si>
    <t>Entry</t>
  </si>
  <si>
    <t>Invalid</t>
  </si>
  <si>
    <t>3.1 FIXED: Final Raw Lines are now processed.'</t>
  </si>
  <si>
    <t>Loaded: 680 Elements
JSON string has been parsed.
See Sheet2 for parsed data</t>
  </si>
  <si>
    <t>INSIGN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</si>
</sst>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"/>
    <numFmt numFmtId="165" formatCode="000"/>
    <numFmt numFmtId="166" formatCode="[$-F400]h:mm:ss\ AM/PM"/>
    <numFmt numFmtId="167" formatCode="yyyy\-mm\-dd"/>
  </numFmts>
  <fonts count="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/>
  </cellStyleXfs>
  <cellXfs count="58">
    <xf numFmtId="0" fontId="0" fillId="0" borderId="0" xfId="0"/>
    <xf numFmtId="0" fontId="0" fillId="0" borderId="0" xfId="0" applyAlignment="1">
      <alignment vertical="center"/>
    </xf>
    <xf numFmtId="164" fontId="1" fillId="0" borderId="0" xfId="1" applyNumberFormat="1" applyFont="1"/>
    <xf numFmtId="0" fontId="1" fillId="0" borderId="0" xfId="1" applyFont="1"/>
    <xf numFmtId="0" fontId="1" fillId="0" borderId="0" xfId="1" applyFont="1" applyFill="1" applyBorder="1"/>
    <xf numFmtId="0" fontId="1" fillId="0" borderId="0" xfId="1" applyFont="1" applyBorder="1"/>
    <xf numFmtId="165" fontId="1" fillId="0" borderId="0" xfId="1" applyNumberFormat="1" applyFont="1"/>
    <xf numFmtId="0" fontId="1" fillId="0" borderId="0" xfId="1" applyFont="1" applyFill="1"/>
    <xf numFmtId="0" fontId="1" fillId="0" borderId="2" xfId="1" applyFont="1" applyBorder="1"/>
    <xf numFmtId="20" fontId="1" fillId="0" borderId="0" xfId="1" applyNumberFormat="1" applyFont="1"/>
    <xf numFmtId="1" fontId="1" fillId="0" borderId="0" xfId="1" applyNumberFormat="1" applyFont="1"/>
    <xf numFmtId="14" fontId="1" fillId="0" borderId="0" xfId="1" applyNumberFormat="1" applyFont="1" applyBorder="1"/>
    <xf numFmtId="20" fontId="1" fillId="0" borderId="0" xfId="1" applyNumberFormat="1" applyFont="1" applyBorder="1"/>
    <xf numFmtId="1" fontId="1" fillId="0" borderId="0" xfId="1" applyNumberFormat="1" applyFont="1" applyBorder="1"/>
    <xf numFmtId="14" fontId="1" fillId="0" borderId="3" xfId="1" applyNumberFormat="1" applyFont="1" applyBorder="1"/>
    <xf numFmtId="0" fontId="1" fillId="0" borderId="3" xfId="1" applyFont="1" applyBorder="1"/>
    <xf numFmtId="1" fontId="1" fillId="0" borderId="3" xfId="1" applyNumberFormat="1" applyFont="1" applyBorder="1"/>
    <xf numFmtId="166" fontId="1" fillId="0" borderId="0" xfId="1" applyNumberFormat="1" applyFont="1"/>
    <xf numFmtId="0" fontId="1" fillId="0" borderId="4" xfId="1" applyFont="1" applyBorder="1"/>
    <xf numFmtId="166" fontId="1" fillId="0" borderId="4" xfId="1" applyNumberFormat="1" applyFont="1" applyBorder="1"/>
    <xf numFmtId="167" fontId="1" fillId="0" borderId="5" xfId="1" applyNumberFormat="1" applyFont="1" applyBorder="1"/>
    <xf numFmtId="20" fontId="1" fillId="0" borderId="5" xfId="1" applyNumberFormat="1" applyFont="1" applyBorder="1"/>
    <xf numFmtId="1" fontId="1" fillId="0" borderId="5" xfId="1" applyNumberFormat="1" applyFont="1" applyBorder="1"/>
    <xf numFmtId="167" fontId="1" fillId="0" borderId="4" xfId="1" applyNumberFormat="1" applyFont="1" applyBorder="1"/>
    <xf numFmtId="20" fontId="1" fillId="0" borderId="4" xfId="1" applyNumberFormat="1" applyFont="1" applyBorder="1"/>
    <xf numFmtId="1" fontId="1" fillId="0" borderId="4" xfId="1" applyNumberFormat="1" applyFont="1" applyBorder="1"/>
    <xf numFmtId="167" fontId="1" fillId="0" borderId="6" xfId="1" applyNumberFormat="1" applyFont="1" applyBorder="1"/>
    <xf numFmtId="20" fontId="1" fillId="0" borderId="6" xfId="1" applyNumberFormat="1" applyFont="1" applyBorder="1"/>
    <xf numFmtId="1" fontId="1" fillId="0" borderId="6" xfId="1" applyNumberFormat="1" applyFont="1" applyBorder="1"/>
    <xf numFmtId="167" fontId="1" fillId="0" borderId="0" xfId="1" applyNumberFormat="1" applyFont="1" applyBorder="1"/>
    <xf numFmtId="2" fontId="1" fillId="0" borderId="0" xfId="1" applyNumberFormat="1" applyFont="1" applyBorder="1"/>
    <xf numFmtId="2" fontId="1" fillId="0" borderId="0" xfId="1" applyNumberFormat="1" applyFont="1"/>
    <xf numFmtId="0" fontId="1" fillId="0" borderId="0" xfId="1" applyFont="1" applyAlignment="1">
      <alignment wrapText="1"/>
    </xf>
    <xf numFmtId="0" fontId="1" fillId="0" borderId="0" xfId="1" applyNumberFormat="1" applyFont="1"/>
    <xf numFmtId="0" fontId="1" fillId="0" borderId="0" xfId="1" applyFont="1" applyBorder="1" applyAlignment="1">
      <alignment wrapText="1"/>
    </xf>
    <xf numFmtId="0" fontId="1" fillId="0" borderId="0" xfId="1" applyFont="1" applyFill="1" applyBorder="1" applyAlignment="1">
      <alignment wrapText="1"/>
    </xf>
    <xf numFmtId="0" fontId="1" fillId="0" borderId="2" xfId="1" applyFont="1" applyBorder="1" applyAlignment="1">
      <alignment wrapText="1"/>
    </xf>
    <xf numFmtId="0" fontId="1" fillId="0" borderId="7" xfId="1" applyFont="1" applyBorder="1"/>
    <xf numFmtId="0" fontId="1" fillId="0" borderId="8" xfId="1" applyFont="1" applyBorder="1"/>
    <xf numFmtId="0" fontId="1" fillId="0" borderId="9" xfId="1" applyFont="1" applyBorder="1"/>
    <xf numFmtId="0" fontId="1" fillId="0" borderId="10" xfId="1" applyFont="1" applyBorder="1"/>
    <xf numFmtId="0" fontId="1" fillId="0" borderId="11" xfId="1" applyFont="1" applyBorder="1"/>
    <xf numFmtId="0" fontId="1" fillId="0" borderId="12" xfId="1" applyFont="1" applyBorder="1"/>
    <xf numFmtId="0" fontId="1" fillId="0" borderId="13" xfId="1" applyFont="1" applyBorder="1"/>
    <xf numFmtId="164" fontId="1" fillId="0" borderId="0" xfId="0" applyNumberFormat="1" applyFont="1"/>
    <xf numFmtId="0" fontId="1" fillId="0" borderId="0" xfId="0" applyFont="1"/>
    <xf numFmtId="0" fontId="1" fillId="0" borderId="0" xfId="0" applyFont="1" applyFill="1" applyBorder="1"/>
    <xf numFmtId="164" fontId="1" fillId="0" borderId="0" xfId="0" applyNumberFormat="1" applyFont="1" applyBorder="1"/>
    <xf numFmtId="0" fontId="1" fillId="0" borderId="0" xfId="0" applyNumberFormat="1" applyFont="1" applyBorder="1"/>
    <xf numFmtId="0" fontId="1" fillId="0" borderId="0" xfId="0" applyFont="1" applyBorder="1"/>
    <xf numFmtId="164" fontId="0" fillId="0" borderId="1" xfId="0" applyNumberFormat="1" applyFont="1" applyBorder="1"/>
    <xf numFmtId="0" fontId="0" fillId="0" borderId="1" xfId="0" applyFont="1" applyBorder="1"/>
    <xf numFmtId="0" fontId="1" fillId="0" borderId="1" xfId="0" applyFont="1" applyBorder="1"/>
    <xf numFmtId="0" fontId="1" fillId="0" borderId="1" xfId="0" applyFont="1" applyFill="1" applyBorder="1"/>
    <xf numFmtId="0" fontId="0" fillId="0" borderId="0" xfId="0" applyAlignment="1">
      <alignment vertical="center" wrapText="1"/>
    </xf>
    <xf numFmtId="0" fontId="2" fillId="2" borderId="0" xfId="1" applyFont="1" applyFill="1" applyBorder="1"/>
    <xf numFmtId="20" fontId="1" fillId="0" borderId="3" xfId="1" applyNumberFormat="1" applyFont="1" applyBorder="1"/>
    <xf numFmtId="167" fontId="1" fillId="0" borderId="14" xfId="1" applyNumberFormat="1" applyFont="1" applyBorder="1"/>
  </cellXfs>
  <cellStyles count="2">
    <cellStyle name="Normal" xfId="0" builtinId="0"/>
    <cellStyle name="Normal 2" xfId="1"/>
  </cellStyles>
  <dxfs count="6">
    <dxf>
      <fill>
        <patternFill>
          <bgColor theme="9" tint="0.79998168889431442"/>
        </patternFill>
      </fill>
      <border>
        <bottom style="hair">
          <color indexed="64"/>
        </bottom>
      </border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12</xdr:row>
          <xdr:rowOff>114300</xdr:rowOff>
        </xdr:from>
        <xdr:to>
          <xdr:col>8</xdr:col>
          <xdr:colOff>66675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18</xdr:row>
          <xdr:rowOff>95250</xdr:rowOff>
        </xdr:from>
        <xdr:to>
          <xdr:col>8</xdr:col>
          <xdr:colOff>95250</xdr:colOff>
          <xdr:row>20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5</xdr:row>
          <xdr:rowOff>57150</xdr:rowOff>
        </xdr:from>
        <xdr:to>
          <xdr:col>8</xdr:col>
          <xdr:colOff>104775</xdr:colOff>
          <xdr:row>7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171450</xdr:colOff>
          <xdr:row>6</xdr:row>
          <xdr:rowOff>19050</xdr:rowOff>
        </xdr:from>
        <xdr:to>
          <xdr:col>10</xdr:col>
          <xdr:colOff>390525</xdr:colOff>
          <xdr:row>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5</xdr:row>
      <xdr:rowOff>68580</xdr:rowOff>
    </xdr:from>
    <xdr:to>
      <xdr:col>12</xdr:col>
      <xdr:colOff>114300</xdr:colOff>
      <xdr:row>9</xdr:row>
      <xdr:rowOff>45720</xdr:rowOff>
    </xdr:to>
    <xdr:sp macro="" textlink="">
      <xdr:nvSpPr>
        <xdr:cNvPr id="3" name="Right Arrow 2"/>
        <xdr:cNvSpPr/>
      </xdr:nvSpPr>
      <xdr:spPr>
        <a:xfrm flipH="1">
          <a:off x="7010400" y="914400"/>
          <a:ext cx="891540" cy="647700"/>
        </a:xfrm>
        <a:prstGeom prst="rightArrow">
          <a:avLst>
            <a:gd name="adj1" fmla="val 50000"/>
            <a:gd name="adj2" fmla="val 728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2000"/>
            <a:t>5</a:t>
          </a:r>
        </a:p>
      </xdr:txBody>
    </xdr:sp>
    <xdr:clientData/>
  </xdr:twoCellAnchor>
  <xdr:twoCellAnchor>
    <xdr:from>
      <xdr:col>8</xdr:col>
      <xdr:colOff>30480</xdr:colOff>
      <xdr:row>0</xdr:row>
      <xdr:rowOff>30480</xdr:rowOff>
    </xdr:from>
    <xdr:to>
      <xdr:col>9</xdr:col>
      <xdr:colOff>312420</xdr:colOff>
      <xdr:row>4</xdr:row>
      <xdr:rowOff>0</xdr:rowOff>
    </xdr:to>
    <xdr:sp macro="" textlink="">
      <xdr:nvSpPr>
        <xdr:cNvPr id="4" name="Right Arrow 3"/>
        <xdr:cNvSpPr/>
      </xdr:nvSpPr>
      <xdr:spPr>
        <a:xfrm flipH="1">
          <a:off x="5379720" y="30480"/>
          <a:ext cx="891540" cy="647700"/>
        </a:xfrm>
        <a:prstGeom prst="rightArrow">
          <a:avLst>
            <a:gd name="adj1" fmla="val 50000"/>
            <a:gd name="adj2" fmla="val 728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2000"/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6</xdr:row>
          <xdr:rowOff>57150</xdr:rowOff>
        </xdr:from>
        <xdr:to>
          <xdr:col>10</xdr:col>
          <xdr:colOff>295275</xdr:colOff>
          <xdr:row>8</xdr:row>
          <xdr:rowOff>19050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523875</xdr:colOff>
          <xdr:row>6</xdr:row>
          <xdr:rowOff>66675</xdr:rowOff>
        </xdr:from>
        <xdr:to>
          <xdr:col>11</xdr:col>
          <xdr:colOff>495300</xdr:colOff>
          <xdr:row>8</xdr:row>
          <xdr:rowOff>0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9</xdr:row>
          <xdr:rowOff>0</xdr:rowOff>
        </xdr:from>
        <xdr:to>
          <xdr:col>11</xdr:col>
          <xdr:colOff>285750</xdr:colOff>
          <xdr:row>11</xdr:row>
          <xdr:rowOff>57150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14-11/1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ings"/>
      <sheetName val="Overtime"/>
      <sheetName val="Results"/>
      <sheetName val="Settings"/>
      <sheetName val="Holidays"/>
      <sheetName val="Data"/>
      <sheetName val="Ranges"/>
      <sheetName val="102"/>
    </sheetNames>
    <definedNames>
      <definedName name="obtain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id="1" name="Table31" displayName="Table31" ref="A1:F32" totalsRowShown="0" headerRowDxfId="5">
  <autoFilter ref="A1:F32"/>
  <tableColumns count="6">
    <tableColumn id="1" name="Year"/>
    <tableColumn id="2" name="Month"/>
    <tableColumn id="3" name="Day31"/>
    <tableColumn id="4" name="Day30"/>
    <tableColumn id="5" name="Day29"/>
    <tableColumn id="6" name="Day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eadings">
    <pageSetUpPr fitToPage="1"/>
  </sheetPr>
  <dimension ref="A1:F74"/>
  <sheetViews>
    <sheetView zoomScaleNormal="100" workbookViewId="0">
      <selection activeCell="C73" sqref="C73"/>
    </sheetView>
  </sheetViews>
  <sheetFormatPr defaultRowHeight="12.75" x14ac:dyDescent="0.2"/>
  <cols>
    <col min="1" max="1" width="16.7109375" style="2" customWidth="1"/>
    <col min="2" max="2" width="14.28515625" style="3" bestFit="1" customWidth="1"/>
    <col min="3" max="3" width="8.85546875" style="3"/>
    <col min="4" max="4" width="10.28515625" style="3" bestFit="1" customWidth="1"/>
    <col min="5" max="5" width="5" style="3" bestFit="1" customWidth="1"/>
    <col min="6" max="6" width="4" style="4" bestFit="1" customWidth="1"/>
    <col min="7" max="256" width="8.85546875" style="3"/>
    <col min="257" max="257" width="16.7109375" style="3" bestFit="1" customWidth="1"/>
    <col min="258" max="258" width="14.28515625" style="3" bestFit="1" customWidth="1"/>
    <col min="259" max="259" width="8.85546875" style="3"/>
    <col min="260" max="260" width="10.28515625" style="3" bestFit="1" customWidth="1"/>
    <col min="261" max="261" width="5" style="3" bestFit="1" customWidth="1"/>
    <col min="262" max="262" width="4" style="3" bestFit="1" customWidth="1"/>
    <col min="263" max="512" width="8.85546875" style="3"/>
    <col min="513" max="513" width="16.7109375" style="3" bestFit="1" customWidth="1"/>
    <col min="514" max="514" width="14.28515625" style="3" bestFit="1" customWidth="1"/>
    <col min="515" max="515" width="8.85546875" style="3"/>
    <col min="516" max="516" width="10.28515625" style="3" bestFit="1" customWidth="1"/>
    <col min="517" max="517" width="5" style="3" bestFit="1" customWidth="1"/>
    <col min="518" max="518" width="4" style="3" bestFit="1" customWidth="1"/>
    <col min="519" max="768" width="8.85546875" style="3"/>
    <col min="769" max="769" width="16.7109375" style="3" bestFit="1" customWidth="1"/>
    <col min="770" max="770" width="14.28515625" style="3" bestFit="1" customWidth="1"/>
    <col min="771" max="771" width="8.85546875" style="3"/>
    <col min="772" max="772" width="10.28515625" style="3" bestFit="1" customWidth="1"/>
    <col min="773" max="773" width="5" style="3" bestFit="1" customWidth="1"/>
    <col min="774" max="774" width="4" style="3" bestFit="1" customWidth="1"/>
    <col min="775" max="1024" width="8.85546875" style="3"/>
    <col min="1025" max="1025" width="16.7109375" style="3" bestFit="1" customWidth="1"/>
    <col min="1026" max="1026" width="14.28515625" style="3" bestFit="1" customWidth="1"/>
    <col min="1027" max="1027" width="8.85546875" style="3"/>
    <col min="1028" max="1028" width="10.28515625" style="3" bestFit="1" customWidth="1"/>
    <col min="1029" max="1029" width="5" style="3" bestFit="1" customWidth="1"/>
    <col min="1030" max="1030" width="4" style="3" bestFit="1" customWidth="1"/>
    <col min="1031" max="1280" width="8.85546875" style="3"/>
    <col min="1281" max="1281" width="16.7109375" style="3" bestFit="1" customWidth="1"/>
    <col min="1282" max="1282" width="14.28515625" style="3" bestFit="1" customWidth="1"/>
    <col min="1283" max="1283" width="8.85546875" style="3"/>
    <col min="1284" max="1284" width="10.28515625" style="3" bestFit="1" customWidth="1"/>
    <col min="1285" max="1285" width="5" style="3" bestFit="1" customWidth="1"/>
    <col min="1286" max="1286" width="4" style="3" bestFit="1" customWidth="1"/>
    <col min="1287" max="1536" width="8.85546875" style="3"/>
    <col min="1537" max="1537" width="16.7109375" style="3" bestFit="1" customWidth="1"/>
    <col min="1538" max="1538" width="14.28515625" style="3" bestFit="1" customWidth="1"/>
    <col min="1539" max="1539" width="8.85546875" style="3"/>
    <col min="1540" max="1540" width="10.28515625" style="3" bestFit="1" customWidth="1"/>
    <col min="1541" max="1541" width="5" style="3" bestFit="1" customWidth="1"/>
    <col min="1542" max="1542" width="4" style="3" bestFit="1" customWidth="1"/>
    <col min="1543" max="1792" width="8.85546875" style="3"/>
    <col min="1793" max="1793" width="16.7109375" style="3" bestFit="1" customWidth="1"/>
    <col min="1794" max="1794" width="14.28515625" style="3" bestFit="1" customWidth="1"/>
    <col min="1795" max="1795" width="8.85546875" style="3"/>
    <col min="1796" max="1796" width="10.28515625" style="3" bestFit="1" customWidth="1"/>
    <col min="1797" max="1797" width="5" style="3" bestFit="1" customWidth="1"/>
    <col min="1798" max="1798" width="4" style="3" bestFit="1" customWidth="1"/>
    <col min="1799" max="2048" width="8.85546875" style="3"/>
    <col min="2049" max="2049" width="16.7109375" style="3" bestFit="1" customWidth="1"/>
    <col min="2050" max="2050" width="14.28515625" style="3" bestFit="1" customWidth="1"/>
    <col min="2051" max="2051" width="8.85546875" style="3"/>
    <col min="2052" max="2052" width="10.28515625" style="3" bestFit="1" customWidth="1"/>
    <col min="2053" max="2053" width="5" style="3" bestFit="1" customWidth="1"/>
    <col min="2054" max="2054" width="4" style="3" bestFit="1" customWidth="1"/>
    <col min="2055" max="2304" width="8.85546875" style="3"/>
    <col min="2305" max="2305" width="16.7109375" style="3" bestFit="1" customWidth="1"/>
    <col min="2306" max="2306" width="14.28515625" style="3" bestFit="1" customWidth="1"/>
    <col min="2307" max="2307" width="8.85546875" style="3"/>
    <col min="2308" max="2308" width="10.28515625" style="3" bestFit="1" customWidth="1"/>
    <col min="2309" max="2309" width="5" style="3" bestFit="1" customWidth="1"/>
    <col min="2310" max="2310" width="4" style="3" bestFit="1" customWidth="1"/>
    <col min="2311" max="2560" width="8.85546875" style="3"/>
    <col min="2561" max="2561" width="16.7109375" style="3" bestFit="1" customWidth="1"/>
    <col min="2562" max="2562" width="14.28515625" style="3" bestFit="1" customWidth="1"/>
    <col min="2563" max="2563" width="8.85546875" style="3"/>
    <col min="2564" max="2564" width="10.28515625" style="3" bestFit="1" customWidth="1"/>
    <col min="2565" max="2565" width="5" style="3" bestFit="1" customWidth="1"/>
    <col min="2566" max="2566" width="4" style="3" bestFit="1" customWidth="1"/>
    <col min="2567" max="2816" width="8.85546875" style="3"/>
    <col min="2817" max="2817" width="16.7109375" style="3" bestFit="1" customWidth="1"/>
    <col min="2818" max="2818" width="14.28515625" style="3" bestFit="1" customWidth="1"/>
    <col min="2819" max="2819" width="8.85546875" style="3"/>
    <col min="2820" max="2820" width="10.28515625" style="3" bestFit="1" customWidth="1"/>
    <col min="2821" max="2821" width="5" style="3" bestFit="1" customWidth="1"/>
    <col min="2822" max="2822" width="4" style="3" bestFit="1" customWidth="1"/>
    <col min="2823" max="3072" width="8.85546875" style="3"/>
    <col min="3073" max="3073" width="16.7109375" style="3" bestFit="1" customWidth="1"/>
    <col min="3074" max="3074" width="14.28515625" style="3" bestFit="1" customWidth="1"/>
    <col min="3075" max="3075" width="8.85546875" style="3"/>
    <col min="3076" max="3076" width="10.28515625" style="3" bestFit="1" customWidth="1"/>
    <col min="3077" max="3077" width="5" style="3" bestFit="1" customWidth="1"/>
    <col min="3078" max="3078" width="4" style="3" bestFit="1" customWidth="1"/>
    <col min="3079" max="3328" width="8.85546875" style="3"/>
    <col min="3329" max="3329" width="16.7109375" style="3" bestFit="1" customWidth="1"/>
    <col min="3330" max="3330" width="14.28515625" style="3" bestFit="1" customWidth="1"/>
    <col min="3331" max="3331" width="8.85546875" style="3"/>
    <col min="3332" max="3332" width="10.28515625" style="3" bestFit="1" customWidth="1"/>
    <col min="3333" max="3333" width="5" style="3" bestFit="1" customWidth="1"/>
    <col min="3334" max="3334" width="4" style="3" bestFit="1" customWidth="1"/>
    <col min="3335" max="3584" width="8.85546875" style="3"/>
    <col min="3585" max="3585" width="16.7109375" style="3" bestFit="1" customWidth="1"/>
    <col min="3586" max="3586" width="14.28515625" style="3" bestFit="1" customWidth="1"/>
    <col min="3587" max="3587" width="8.85546875" style="3"/>
    <col min="3588" max="3588" width="10.28515625" style="3" bestFit="1" customWidth="1"/>
    <col min="3589" max="3589" width="5" style="3" bestFit="1" customWidth="1"/>
    <col min="3590" max="3590" width="4" style="3" bestFit="1" customWidth="1"/>
    <col min="3591" max="3840" width="8.85546875" style="3"/>
    <col min="3841" max="3841" width="16.7109375" style="3" bestFit="1" customWidth="1"/>
    <col min="3842" max="3842" width="14.28515625" style="3" bestFit="1" customWidth="1"/>
    <col min="3843" max="3843" width="8.85546875" style="3"/>
    <col min="3844" max="3844" width="10.28515625" style="3" bestFit="1" customWidth="1"/>
    <col min="3845" max="3845" width="5" style="3" bestFit="1" customWidth="1"/>
    <col min="3846" max="3846" width="4" style="3" bestFit="1" customWidth="1"/>
    <col min="3847" max="4096" width="8.85546875" style="3"/>
    <col min="4097" max="4097" width="16.7109375" style="3" bestFit="1" customWidth="1"/>
    <col min="4098" max="4098" width="14.28515625" style="3" bestFit="1" customWidth="1"/>
    <col min="4099" max="4099" width="8.85546875" style="3"/>
    <col min="4100" max="4100" width="10.28515625" style="3" bestFit="1" customWidth="1"/>
    <col min="4101" max="4101" width="5" style="3" bestFit="1" customWidth="1"/>
    <col min="4102" max="4102" width="4" style="3" bestFit="1" customWidth="1"/>
    <col min="4103" max="4352" width="8.85546875" style="3"/>
    <col min="4353" max="4353" width="16.7109375" style="3" bestFit="1" customWidth="1"/>
    <col min="4354" max="4354" width="14.28515625" style="3" bestFit="1" customWidth="1"/>
    <col min="4355" max="4355" width="8.85546875" style="3"/>
    <col min="4356" max="4356" width="10.28515625" style="3" bestFit="1" customWidth="1"/>
    <col min="4357" max="4357" width="5" style="3" bestFit="1" customWidth="1"/>
    <col min="4358" max="4358" width="4" style="3" bestFit="1" customWidth="1"/>
    <col min="4359" max="4608" width="8.85546875" style="3"/>
    <col min="4609" max="4609" width="16.7109375" style="3" bestFit="1" customWidth="1"/>
    <col min="4610" max="4610" width="14.28515625" style="3" bestFit="1" customWidth="1"/>
    <col min="4611" max="4611" width="8.85546875" style="3"/>
    <col min="4612" max="4612" width="10.28515625" style="3" bestFit="1" customWidth="1"/>
    <col min="4613" max="4613" width="5" style="3" bestFit="1" customWidth="1"/>
    <col min="4614" max="4614" width="4" style="3" bestFit="1" customWidth="1"/>
    <col min="4615" max="4864" width="8.85546875" style="3"/>
    <col min="4865" max="4865" width="16.7109375" style="3" bestFit="1" customWidth="1"/>
    <col min="4866" max="4866" width="14.28515625" style="3" bestFit="1" customWidth="1"/>
    <col min="4867" max="4867" width="8.85546875" style="3"/>
    <col min="4868" max="4868" width="10.28515625" style="3" bestFit="1" customWidth="1"/>
    <col min="4869" max="4869" width="5" style="3" bestFit="1" customWidth="1"/>
    <col min="4870" max="4870" width="4" style="3" bestFit="1" customWidth="1"/>
    <col min="4871" max="5120" width="8.85546875" style="3"/>
    <col min="5121" max="5121" width="16.7109375" style="3" bestFit="1" customWidth="1"/>
    <col min="5122" max="5122" width="14.28515625" style="3" bestFit="1" customWidth="1"/>
    <col min="5123" max="5123" width="8.85546875" style="3"/>
    <col min="5124" max="5124" width="10.28515625" style="3" bestFit="1" customWidth="1"/>
    <col min="5125" max="5125" width="5" style="3" bestFit="1" customWidth="1"/>
    <col min="5126" max="5126" width="4" style="3" bestFit="1" customWidth="1"/>
    <col min="5127" max="5376" width="8.85546875" style="3"/>
    <col min="5377" max="5377" width="16.7109375" style="3" bestFit="1" customWidth="1"/>
    <col min="5378" max="5378" width="14.28515625" style="3" bestFit="1" customWidth="1"/>
    <col min="5379" max="5379" width="8.85546875" style="3"/>
    <col min="5380" max="5380" width="10.28515625" style="3" bestFit="1" customWidth="1"/>
    <col min="5381" max="5381" width="5" style="3" bestFit="1" customWidth="1"/>
    <col min="5382" max="5382" width="4" style="3" bestFit="1" customWidth="1"/>
    <col min="5383" max="5632" width="8.85546875" style="3"/>
    <col min="5633" max="5633" width="16.7109375" style="3" bestFit="1" customWidth="1"/>
    <col min="5634" max="5634" width="14.28515625" style="3" bestFit="1" customWidth="1"/>
    <col min="5635" max="5635" width="8.85546875" style="3"/>
    <col min="5636" max="5636" width="10.28515625" style="3" bestFit="1" customWidth="1"/>
    <col min="5637" max="5637" width="5" style="3" bestFit="1" customWidth="1"/>
    <col min="5638" max="5638" width="4" style="3" bestFit="1" customWidth="1"/>
    <col min="5639" max="5888" width="8.85546875" style="3"/>
    <col min="5889" max="5889" width="16.7109375" style="3" bestFit="1" customWidth="1"/>
    <col min="5890" max="5890" width="14.28515625" style="3" bestFit="1" customWidth="1"/>
    <col min="5891" max="5891" width="8.85546875" style="3"/>
    <col min="5892" max="5892" width="10.28515625" style="3" bestFit="1" customWidth="1"/>
    <col min="5893" max="5893" width="5" style="3" bestFit="1" customWidth="1"/>
    <col min="5894" max="5894" width="4" style="3" bestFit="1" customWidth="1"/>
    <col min="5895" max="6144" width="8.85546875" style="3"/>
    <col min="6145" max="6145" width="16.7109375" style="3" bestFit="1" customWidth="1"/>
    <col min="6146" max="6146" width="14.28515625" style="3" bestFit="1" customWidth="1"/>
    <col min="6147" max="6147" width="8.85546875" style="3"/>
    <col min="6148" max="6148" width="10.28515625" style="3" bestFit="1" customWidth="1"/>
    <col min="6149" max="6149" width="5" style="3" bestFit="1" customWidth="1"/>
    <col min="6150" max="6150" width="4" style="3" bestFit="1" customWidth="1"/>
    <col min="6151" max="6400" width="8.85546875" style="3"/>
    <col min="6401" max="6401" width="16.7109375" style="3" bestFit="1" customWidth="1"/>
    <col min="6402" max="6402" width="14.28515625" style="3" bestFit="1" customWidth="1"/>
    <col min="6403" max="6403" width="8.85546875" style="3"/>
    <col min="6404" max="6404" width="10.28515625" style="3" bestFit="1" customWidth="1"/>
    <col min="6405" max="6405" width="5" style="3" bestFit="1" customWidth="1"/>
    <col min="6406" max="6406" width="4" style="3" bestFit="1" customWidth="1"/>
    <col min="6407" max="6656" width="8.85546875" style="3"/>
    <col min="6657" max="6657" width="16.7109375" style="3" bestFit="1" customWidth="1"/>
    <col min="6658" max="6658" width="14.28515625" style="3" bestFit="1" customWidth="1"/>
    <col min="6659" max="6659" width="8.85546875" style="3"/>
    <col min="6660" max="6660" width="10.28515625" style="3" bestFit="1" customWidth="1"/>
    <col min="6661" max="6661" width="5" style="3" bestFit="1" customWidth="1"/>
    <col min="6662" max="6662" width="4" style="3" bestFit="1" customWidth="1"/>
    <col min="6663" max="6912" width="8.85546875" style="3"/>
    <col min="6913" max="6913" width="16.7109375" style="3" bestFit="1" customWidth="1"/>
    <col min="6914" max="6914" width="14.28515625" style="3" bestFit="1" customWidth="1"/>
    <col min="6915" max="6915" width="8.85546875" style="3"/>
    <col min="6916" max="6916" width="10.28515625" style="3" bestFit="1" customWidth="1"/>
    <col min="6917" max="6917" width="5" style="3" bestFit="1" customWidth="1"/>
    <col min="6918" max="6918" width="4" style="3" bestFit="1" customWidth="1"/>
    <col min="6919" max="7168" width="8.85546875" style="3"/>
    <col min="7169" max="7169" width="16.7109375" style="3" bestFit="1" customWidth="1"/>
    <col min="7170" max="7170" width="14.28515625" style="3" bestFit="1" customWidth="1"/>
    <col min="7171" max="7171" width="8.85546875" style="3"/>
    <col min="7172" max="7172" width="10.28515625" style="3" bestFit="1" customWidth="1"/>
    <col min="7173" max="7173" width="5" style="3" bestFit="1" customWidth="1"/>
    <col min="7174" max="7174" width="4" style="3" bestFit="1" customWidth="1"/>
    <col min="7175" max="7424" width="8.85546875" style="3"/>
    <col min="7425" max="7425" width="16.7109375" style="3" bestFit="1" customWidth="1"/>
    <col min="7426" max="7426" width="14.28515625" style="3" bestFit="1" customWidth="1"/>
    <col min="7427" max="7427" width="8.85546875" style="3"/>
    <col min="7428" max="7428" width="10.28515625" style="3" bestFit="1" customWidth="1"/>
    <col min="7429" max="7429" width="5" style="3" bestFit="1" customWidth="1"/>
    <col min="7430" max="7430" width="4" style="3" bestFit="1" customWidth="1"/>
    <col min="7431" max="7680" width="8.85546875" style="3"/>
    <col min="7681" max="7681" width="16.7109375" style="3" bestFit="1" customWidth="1"/>
    <col min="7682" max="7682" width="14.28515625" style="3" bestFit="1" customWidth="1"/>
    <col min="7683" max="7683" width="8.85546875" style="3"/>
    <col min="7684" max="7684" width="10.28515625" style="3" bestFit="1" customWidth="1"/>
    <col min="7685" max="7685" width="5" style="3" bestFit="1" customWidth="1"/>
    <col min="7686" max="7686" width="4" style="3" bestFit="1" customWidth="1"/>
    <col min="7687" max="7936" width="8.85546875" style="3"/>
    <col min="7937" max="7937" width="16.7109375" style="3" bestFit="1" customWidth="1"/>
    <col min="7938" max="7938" width="14.28515625" style="3" bestFit="1" customWidth="1"/>
    <col min="7939" max="7939" width="8.85546875" style="3"/>
    <col min="7940" max="7940" width="10.28515625" style="3" bestFit="1" customWidth="1"/>
    <col min="7941" max="7941" width="5" style="3" bestFit="1" customWidth="1"/>
    <col min="7942" max="7942" width="4" style="3" bestFit="1" customWidth="1"/>
    <col min="7943" max="8192" width="8.85546875" style="3"/>
    <col min="8193" max="8193" width="16.7109375" style="3" bestFit="1" customWidth="1"/>
    <col min="8194" max="8194" width="14.28515625" style="3" bestFit="1" customWidth="1"/>
    <col min="8195" max="8195" width="8.85546875" style="3"/>
    <col min="8196" max="8196" width="10.28515625" style="3" bestFit="1" customWidth="1"/>
    <col min="8197" max="8197" width="5" style="3" bestFit="1" customWidth="1"/>
    <col min="8198" max="8198" width="4" style="3" bestFit="1" customWidth="1"/>
    <col min="8199" max="8448" width="8.85546875" style="3"/>
    <col min="8449" max="8449" width="16.7109375" style="3" bestFit="1" customWidth="1"/>
    <col min="8450" max="8450" width="14.28515625" style="3" bestFit="1" customWidth="1"/>
    <col min="8451" max="8451" width="8.85546875" style="3"/>
    <col min="8452" max="8452" width="10.28515625" style="3" bestFit="1" customWidth="1"/>
    <col min="8453" max="8453" width="5" style="3" bestFit="1" customWidth="1"/>
    <col min="8454" max="8454" width="4" style="3" bestFit="1" customWidth="1"/>
    <col min="8455" max="8704" width="8.85546875" style="3"/>
    <col min="8705" max="8705" width="16.7109375" style="3" bestFit="1" customWidth="1"/>
    <col min="8706" max="8706" width="14.28515625" style="3" bestFit="1" customWidth="1"/>
    <col min="8707" max="8707" width="8.85546875" style="3"/>
    <col min="8708" max="8708" width="10.28515625" style="3" bestFit="1" customWidth="1"/>
    <col min="8709" max="8709" width="5" style="3" bestFit="1" customWidth="1"/>
    <col min="8710" max="8710" width="4" style="3" bestFit="1" customWidth="1"/>
    <col min="8711" max="8960" width="8.85546875" style="3"/>
    <col min="8961" max="8961" width="16.7109375" style="3" bestFit="1" customWidth="1"/>
    <col min="8962" max="8962" width="14.28515625" style="3" bestFit="1" customWidth="1"/>
    <col min="8963" max="8963" width="8.85546875" style="3"/>
    <col min="8964" max="8964" width="10.28515625" style="3" bestFit="1" customWidth="1"/>
    <col min="8965" max="8965" width="5" style="3" bestFit="1" customWidth="1"/>
    <col min="8966" max="8966" width="4" style="3" bestFit="1" customWidth="1"/>
    <col min="8967" max="9216" width="8.85546875" style="3"/>
    <col min="9217" max="9217" width="16.7109375" style="3" bestFit="1" customWidth="1"/>
    <col min="9218" max="9218" width="14.28515625" style="3" bestFit="1" customWidth="1"/>
    <col min="9219" max="9219" width="8.85546875" style="3"/>
    <col min="9220" max="9220" width="10.28515625" style="3" bestFit="1" customWidth="1"/>
    <col min="9221" max="9221" width="5" style="3" bestFit="1" customWidth="1"/>
    <col min="9222" max="9222" width="4" style="3" bestFit="1" customWidth="1"/>
    <col min="9223" max="9472" width="8.85546875" style="3"/>
    <col min="9473" max="9473" width="16.7109375" style="3" bestFit="1" customWidth="1"/>
    <col min="9474" max="9474" width="14.28515625" style="3" bestFit="1" customWidth="1"/>
    <col min="9475" max="9475" width="8.85546875" style="3"/>
    <col min="9476" max="9476" width="10.28515625" style="3" bestFit="1" customWidth="1"/>
    <col min="9477" max="9477" width="5" style="3" bestFit="1" customWidth="1"/>
    <col min="9478" max="9478" width="4" style="3" bestFit="1" customWidth="1"/>
    <col min="9479" max="9728" width="8.85546875" style="3"/>
    <col min="9729" max="9729" width="16.7109375" style="3" bestFit="1" customWidth="1"/>
    <col min="9730" max="9730" width="14.28515625" style="3" bestFit="1" customWidth="1"/>
    <col min="9731" max="9731" width="8.85546875" style="3"/>
    <col min="9732" max="9732" width="10.28515625" style="3" bestFit="1" customWidth="1"/>
    <col min="9733" max="9733" width="5" style="3" bestFit="1" customWidth="1"/>
    <col min="9734" max="9734" width="4" style="3" bestFit="1" customWidth="1"/>
    <col min="9735" max="9984" width="8.85546875" style="3"/>
    <col min="9985" max="9985" width="16.7109375" style="3" bestFit="1" customWidth="1"/>
    <col min="9986" max="9986" width="14.28515625" style="3" bestFit="1" customWidth="1"/>
    <col min="9987" max="9987" width="8.85546875" style="3"/>
    <col min="9988" max="9988" width="10.28515625" style="3" bestFit="1" customWidth="1"/>
    <col min="9989" max="9989" width="5" style="3" bestFit="1" customWidth="1"/>
    <col min="9990" max="9990" width="4" style="3" bestFit="1" customWidth="1"/>
    <col min="9991" max="10240" width="8.85546875" style="3"/>
    <col min="10241" max="10241" width="16.7109375" style="3" bestFit="1" customWidth="1"/>
    <col min="10242" max="10242" width="14.28515625" style="3" bestFit="1" customWidth="1"/>
    <col min="10243" max="10243" width="8.85546875" style="3"/>
    <col min="10244" max="10244" width="10.28515625" style="3" bestFit="1" customWidth="1"/>
    <col min="10245" max="10245" width="5" style="3" bestFit="1" customWidth="1"/>
    <col min="10246" max="10246" width="4" style="3" bestFit="1" customWidth="1"/>
    <col min="10247" max="10496" width="8.85546875" style="3"/>
    <col min="10497" max="10497" width="16.7109375" style="3" bestFit="1" customWidth="1"/>
    <col min="10498" max="10498" width="14.28515625" style="3" bestFit="1" customWidth="1"/>
    <col min="10499" max="10499" width="8.85546875" style="3"/>
    <col min="10500" max="10500" width="10.28515625" style="3" bestFit="1" customWidth="1"/>
    <col min="10501" max="10501" width="5" style="3" bestFit="1" customWidth="1"/>
    <col min="10502" max="10502" width="4" style="3" bestFit="1" customWidth="1"/>
    <col min="10503" max="10752" width="8.85546875" style="3"/>
    <col min="10753" max="10753" width="16.7109375" style="3" bestFit="1" customWidth="1"/>
    <col min="10754" max="10754" width="14.28515625" style="3" bestFit="1" customWidth="1"/>
    <col min="10755" max="10755" width="8.85546875" style="3"/>
    <col min="10756" max="10756" width="10.28515625" style="3" bestFit="1" customWidth="1"/>
    <col min="10757" max="10757" width="5" style="3" bestFit="1" customWidth="1"/>
    <col min="10758" max="10758" width="4" style="3" bestFit="1" customWidth="1"/>
    <col min="10759" max="11008" width="8.85546875" style="3"/>
    <col min="11009" max="11009" width="16.7109375" style="3" bestFit="1" customWidth="1"/>
    <col min="11010" max="11010" width="14.28515625" style="3" bestFit="1" customWidth="1"/>
    <col min="11011" max="11011" width="8.85546875" style="3"/>
    <col min="11012" max="11012" width="10.28515625" style="3" bestFit="1" customWidth="1"/>
    <col min="11013" max="11013" width="5" style="3" bestFit="1" customWidth="1"/>
    <col min="11014" max="11014" width="4" style="3" bestFit="1" customWidth="1"/>
    <col min="11015" max="11264" width="8.85546875" style="3"/>
    <col min="11265" max="11265" width="16.7109375" style="3" bestFit="1" customWidth="1"/>
    <col min="11266" max="11266" width="14.28515625" style="3" bestFit="1" customWidth="1"/>
    <col min="11267" max="11267" width="8.85546875" style="3"/>
    <col min="11268" max="11268" width="10.28515625" style="3" bestFit="1" customWidth="1"/>
    <col min="11269" max="11269" width="5" style="3" bestFit="1" customWidth="1"/>
    <col min="11270" max="11270" width="4" style="3" bestFit="1" customWidth="1"/>
    <col min="11271" max="11520" width="8.85546875" style="3"/>
    <col min="11521" max="11521" width="16.7109375" style="3" bestFit="1" customWidth="1"/>
    <col min="11522" max="11522" width="14.28515625" style="3" bestFit="1" customWidth="1"/>
    <col min="11523" max="11523" width="8.85546875" style="3"/>
    <col min="11524" max="11524" width="10.28515625" style="3" bestFit="1" customWidth="1"/>
    <col min="11525" max="11525" width="5" style="3" bestFit="1" customWidth="1"/>
    <col min="11526" max="11526" width="4" style="3" bestFit="1" customWidth="1"/>
    <col min="11527" max="11776" width="8.85546875" style="3"/>
    <col min="11777" max="11777" width="16.7109375" style="3" bestFit="1" customWidth="1"/>
    <col min="11778" max="11778" width="14.28515625" style="3" bestFit="1" customWidth="1"/>
    <col min="11779" max="11779" width="8.85546875" style="3"/>
    <col min="11780" max="11780" width="10.28515625" style="3" bestFit="1" customWidth="1"/>
    <col min="11781" max="11781" width="5" style="3" bestFit="1" customWidth="1"/>
    <col min="11782" max="11782" width="4" style="3" bestFit="1" customWidth="1"/>
    <col min="11783" max="12032" width="8.85546875" style="3"/>
    <col min="12033" max="12033" width="16.7109375" style="3" bestFit="1" customWidth="1"/>
    <col min="12034" max="12034" width="14.28515625" style="3" bestFit="1" customWidth="1"/>
    <col min="12035" max="12035" width="8.85546875" style="3"/>
    <col min="12036" max="12036" width="10.28515625" style="3" bestFit="1" customWidth="1"/>
    <col min="12037" max="12037" width="5" style="3" bestFit="1" customWidth="1"/>
    <col min="12038" max="12038" width="4" style="3" bestFit="1" customWidth="1"/>
    <col min="12039" max="12288" width="8.85546875" style="3"/>
    <col min="12289" max="12289" width="16.7109375" style="3" bestFit="1" customWidth="1"/>
    <col min="12290" max="12290" width="14.28515625" style="3" bestFit="1" customWidth="1"/>
    <col min="12291" max="12291" width="8.85546875" style="3"/>
    <col min="12292" max="12292" width="10.28515625" style="3" bestFit="1" customWidth="1"/>
    <col min="12293" max="12293" width="5" style="3" bestFit="1" customWidth="1"/>
    <col min="12294" max="12294" width="4" style="3" bestFit="1" customWidth="1"/>
    <col min="12295" max="12544" width="8.85546875" style="3"/>
    <col min="12545" max="12545" width="16.7109375" style="3" bestFit="1" customWidth="1"/>
    <col min="12546" max="12546" width="14.28515625" style="3" bestFit="1" customWidth="1"/>
    <col min="12547" max="12547" width="8.85546875" style="3"/>
    <col min="12548" max="12548" width="10.28515625" style="3" bestFit="1" customWidth="1"/>
    <col min="12549" max="12549" width="5" style="3" bestFit="1" customWidth="1"/>
    <col min="12550" max="12550" width="4" style="3" bestFit="1" customWidth="1"/>
    <col min="12551" max="12800" width="8.85546875" style="3"/>
    <col min="12801" max="12801" width="16.7109375" style="3" bestFit="1" customWidth="1"/>
    <col min="12802" max="12802" width="14.28515625" style="3" bestFit="1" customWidth="1"/>
    <col min="12803" max="12803" width="8.85546875" style="3"/>
    <col min="12804" max="12804" width="10.28515625" style="3" bestFit="1" customWidth="1"/>
    <col min="12805" max="12805" width="5" style="3" bestFit="1" customWidth="1"/>
    <col min="12806" max="12806" width="4" style="3" bestFit="1" customWidth="1"/>
    <col min="12807" max="13056" width="8.85546875" style="3"/>
    <col min="13057" max="13057" width="16.7109375" style="3" bestFit="1" customWidth="1"/>
    <col min="13058" max="13058" width="14.28515625" style="3" bestFit="1" customWidth="1"/>
    <col min="13059" max="13059" width="8.85546875" style="3"/>
    <col min="13060" max="13060" width="10.28515625" style="3" bestFit="1" customWidth="1"/>
    <col min="13061" max="13061" width="5" style="3" bestFit="1" customWidth="1"/>
    <col min="13062" max="13062" width="4" style="3" bestFit="1" customWidth="1"/>
    <col min="13063" max="13312" width="8.85546875" style="3"/>
    <col min="13313" max="13313" width="16.7109375" style="3" bestFit="1" customWidth="1"/>
    <col min="13314" max="13314" width="14.28515625" style="3" bestFit="1" customWidth="1"/>
    <col min="13315" max="13315" width="8.85546875" style="3"/>
    <col min="13316" max="13316" width="10.28515625" style="3" bestFit="1" customWidth="1"/>
    <col min="13317" max="13317" width="5" style="3" bestFit="1" customWidth="1"/>
    <col min="13318" max="13318" width="4" style="3" bestFit="1" customWidth="1"/>
    <col min="13319" max="13568" width="8.85546875" style="3"/>
    <col min="13569" max="13569" width="16.7109375" style="3" bestFit="1" customWidth="1"/>
    <col min="13570" max="13570" width="14.28515625" style="3" bestFit="1" customWidth="1"/>
    <col min="13571" max="13571" width="8.85546875" style="3"/>
    <col min="13572" max="13572" width="10.28515625" style="3" bestFit="1" customWidth="1"/>
    <col min="13573" max="13573" width="5" style="3" bestFit="1" customWidth="1"/>
    <col min="13574" max="13574" width="4" style="3" bestFit="1" customWidth="1"/>
    <col min="13575" max="13824" width="8.85546875" style="3"/>
    <col min="13825" max="13825" width="16.7109375" style="3" bestFit="1" customWidth="1"/>
    <col min="13826" max="13826" width="14.28515625" style="3" bestFit="1" customWidth="1"/>
    <col min="13827" max="13827" width="8.85546875" style="3"/>
    <col min="13828" max="13828" width="10.28515625" style="3" bestFit="1" customWidth="1"/>
    <col min="13829" max="13829" width="5" style="3" bestFit="1" customWidth="1"/>
    <col min="13830" max="13830" width="4" style="3" bestFit="1" customWidth="1"/>
    <col min="13831" max="14080" width="8.85546875" style="3"/>
    <col min="14081" max="14081" width="16.7109375" style="3" bestFit="1" customWidth="1"/>
    <col min="14082" max="14082" width="14.28515625" style="3" bestFit="1" customWidth="1"/>
    <col min="14083" max="14083" width="8.85546875" style="3"/>
    <col min="14084" max="14084" width="10.28515625" style="3" bestFit="1" customWidth="1"/>
    <col min="14085" max="14085" width="5" style="3" bestFit="1" customWidth="1"/>
    <col min="14086" max="14086" width="4" style="3" bestFit="1" customWidth="1"/>
    <col min="14087" max="14336" width="8.85546875" style="3"/>
    <col min="14337" max="14337" width="16.7109375" style="3" bestFit="1" customWidth="1"/>
    <col min="14338" max="14338" width="14.28515625" style="3" bestFit="1" customWidth="1"/>
    <col min="14339" max="14339" width="8.85546875" style="3"/>
    <col min="14340" max="14340" width="10.28515625" style="3" bestFit="1" customWidth="1"/>
    <col min="14341" max="14341" width="5" style="3" bestFit="1" customWidth="1"/>
    <col min="14342" max="14342" width="4" style="3" bestFit="1" customWidth="1"/>
    <col min="14343" max="14592" width="8.85546875" style="3"/>
    <col min="14593" max="14593" width="16.7109375" style="3" bestFit="1" customWidth="1"/>
    <col min="14594" max="14594" width="14.28515625" style="3" bestFit="1" customWidth="1"/>
    <col min="14595" max="14595" width="8.85546875" style="3"/>
    <col min="14596" max="14596" width="10.28515625" style="3" bestFit="1" customWidth="1"/>
    <col min="14597" max="14597" width="5" style="3" bestFit="1" customWidth="1"/>
    <col min="14598" max="14598" width="4" style="3" bestFit="1" customWidth="1"/>
    <col min="14599" max="14848" width="8.85546875" style="3"/>
    <col min="14849" max="14849" width="16.7109375" style="3" bestFit="1" customWidth="1"/>
    <col min="14850" max="14850" width="14.28515625" style="3" bestFit="1" customWidth="1"/>
    <col min="14851" max="14851" width="8.85546875" style="3"/>
    <col min="14852" max="14852" width="10.28515625" style="3" bestFit="1" customWidth="1"/>
    <col min="14853" max="14853" width="5" style="3" bestFit="1" customWidth="1"/>
    <col min="14854" max="14854" width="4" style="3" bestFit="1" customWidth="1"/>
    <col min="14855" max="15104" width="8.85546875" style="3"/>
    <col min="15105" max="15105" width="16.7109375" style="3" bestFit="1" customWidth="1"/>
    <col min="15106" max="15106" width="14.28515625" style="3" bestFit="1" customWidth="1"/>
    <col min="15107" max="15107" width="8.85546875" style="3"/>
    <col min="15108" max="15108" width="10.28515625" style="3" bestFit="1" customWidth="1"/>
    <col min="15109" max="15109" width="5" style="3" bestFit="1" customWidth="1"/>
    <col min="15110" max="15110" width="4" style="3" bestFit="1" customWidth="1"/>
    <col min="15111" max="15360" width="8.85546875" style="3"/>
    <col min="15361" max="15361" width="16.7109375" style="3" bestFit="1" customWidth="1"/>
    <col min="15362" max="15362" width="14.28515625" style="3" bestFit="1" customWidth="1"/>
    <col min="15363" max="15363" width="8.85546875" style="3"/>
    <col min="15364" max="15364" width="10.28515625" style="3" bestFit="1" customWidth="1"/>
    <col min="15365" max="15365" width="5" style="3" bestFit="1" customWidth="1"/>
    <col min="15366" max="15366" width="4" style="3" bestFit="1" customWidth="1"/>
    <col min="15367" max="15616" width="8.85546875" style="3"/>
    <col min="15617" max="15617" width="16.7109375" style="3" bestFit="1" customWidth="1"/>
    <col min="15618" max="15618" width="14.28515625" style="3" bestFit="1" customWidth="1"/>
    <col min="15619" max="15619" width="8.85546875" style="3"/>
    <col min="15620" max="15620" width="10.28515625" style="3" bestFit="1" customWidth="1"/>
    <col min="15621" max="15621" width="5" style="3" bestFit="1" customWidth="1"/>
    <col min="15622" max="15622" width="4" style="3" bestFit="1" customWidth="1"/>
    <col min="15623" max="15872" width="8.85546875" style="3"/>
    <col min="15873" max="15873" width="16.7109375" style="3" bestFit="1" customWidth="1"/>
    <col min="15874" max="15874" width="14.28515625" style="3" bestFit="1" customWidth="1"/>
    <col min="15875" max="15875" width="8.85546875" style="3"/>
    <col min="15876" max="15876" width="10.28515625" style="3" bestFit="1" customWidth="1"/>
    <col min="15877" max="15877" width="5" style="3" bestFit="1" customWidth="1"/>
    <col min="15878" max="15878" width="4" style="3" bestFit="1" customWidth="1"/>
    <col min="15879" max="16128" width="8.85546875" style="3"/>
    <col min="16129" max="16129" width="16.7109375" style="3" bestFit="1" customWidth="1"/>
    <col min="16130" max="16130" width="14.28515625" style="3" bestFit="1" customWidth="1"/>
    <col min="16131" max="16131" width="8.85546875" style="3"/>
    <col min="16132" max="16132" width="10.28515625" style="3" bestFit="1" customWidth="1"/>
    <col min="16133" max="16133" width="5" style="3" bestFit="1" customWidth="1"/>
    <col min="16134" max="16134" width="4" style="3" bestFit="1" customWidth="1"/>
    <col min="16135" max="16384" width="8.85546875" style="3"/>
  </cols>
  <sheetData>
    <row r="1" spans="1:6" x14ac:dyDescent="0.2">
      <c r="A1" s="44" t="s">
        <v>0</v>
      </c>
      <c r="B1" s="45"/>
      <c r="C1" s="45"/>
      <c r="D1" s="45"/>
      <c r="E1" s="45"/>
      <c r="F1" s="46"/>
    </row>
    <row r="2" spans="1:6" x14ac:dyDescent="0.2">
      <c r="A2" s="47" t="s">
        <v>1</v>
      </c>
      <c r="B2" s="48">
        <v>102</v>
      </c>
      <c r="C2" s="49" t="s">
        <v>2</v>
      </c>
      <c r="D2" s="49">
        <f>COUNTA(A4:A4993)</f>
        <v>71</v>
      </c>
      <c r="E2" s="45" t="s">
        <v>3</v>
      </c>
      <c r="F2" s="46">
        <f>COUNTIF(D4:D75,"Valid")</f>
        <v>70</v>
      </c>
    </row>
    <row r="3" spans="1:6" ht="15.75" thickBot="1" x14ac:dyDescent="0.3">
      <c r="A3" s="50" t="s">
        <v>4</v>
      </c>
      <c r="B3" s="51" t="s">
        <v>5</v>
      </c>
      <c r="C3" s="51" t="s">
        <v>6</v>
      </c>
      <c r="D3" s="51" t="s">
        <v>7</v>
      </c>
      <c r="E3" s="52"/>
      <c r="F3" s="53"/>
    </row>
    <row r="4" spans="1:6" ht="13.5" thickTop="1" x14ac:dyDescent="0.2">
      <c r="A4" s="2">
        <v>42036.316666666666</v>
      </c>
      <c r="B4" s="3">
        <v>101</v>
      </c>
      <c r="C4" s="3" t="s">
        <v>82</v>
      </c>
      <c r="D4" s="3" t="s">
        <v>3</v>
      </c>
    </row>
    <row r="5" spans="1:6" x14ac:dyDescent="0.2">
      <c r="A5" s="2">
        <v>42036.636805555558</v>
      </c>
      <c r="B5" s="3">
        <v>101</v>
      </c>
      <c r="C5" s="3" t="s">
        <v>81</v>
      </c>
      <c r="D5" s="3" t="s">
        <v>3</v>
      </c>
    </row>
    <row r="6" spans="1:6" x14ac:dyDescent="0.2">
      <c r="A6" s="2">
        <v>42036.667361111111</v>
      </c>
      <c r="B6" s="3">
        <v>101</v>
      </c>
      <c r="C6" s="3" t="s">
        <v>82</v>
      </c>
      <c r="D6" s="3" t="s">
        <v>3</v>
      </c>
    </row>
    <row r="7" spans="1:6" x14ac:dyDescent="0.2">
      <c r="A7" s="2">
        <v>42036.879861111112</v>
      </c>
      <c r="B7" s="3">
        <v>101</v>
      </c>
      <c r="C7" s="3" t="s">
        <v>81</v>
      </c>
      <c r="D7" s="3" t="s">
        <v>3</v>
      </c>
    </row>
    <row r="8" spans="1:6" x14ac:dyDescent="0.2">
      <c r="A8" s="2">
        <v>42037.351388888892</v>
      </c>
      <c r="B8" s="3">
        <v>101</v>
      </c>
      <c r="C8" s="3" t="s">
        <v>82</v>
      </c>
      <c r="D8" s="3" t="s">
        <v>3</v>
      </c>
    </row>
    <row r="9" spans="1:6" x14ac:dyDescent="0.2">
      <c r="A9" s="2">
        <v>42037.636111111111</v>
      </c>
      <c r="B9" s="3">
        <v>101</v>
      </c>
      <c r="C9" s="3" t="s">
        <v>81</v>
      </c>
      <c r="D9" s="3" t="s">
        <v>3</v>
      </c>
    </row>
    <row r="10" spans="1:6" x14ac:dyDescent="0.2">
      <c r="A10" s="2">
        <v>42037.679166666669</v>
      </c>
      <c r="B10" s="3">
        <v>101</v>
      </c>
      <c r="C10" s="3" t="s">
        <v>82</v>
      </c>
      <c r="D10" s="3" t="s">
        <v>3</v>
      </c>
    </row>
    <row r="11" spans="1:6" x14ac:dyDescent="0.2">
      <c r="A11" s="2">
        <v>42037.881944444445</v>
      </c>
      <c r="B11" s="3">
        <v>101</v>
      </c>
      <c r="C11" s="3" t="s">
        <v>81</v>
      </c>
      <c r="D11" s="3" t="s">
        <v>3</v>
      </c>
    </row>
    <row r="12" spans="1:6" x14ac:dyDescent="0.2">
      <c r="A12" s="2">
        <v>42038.352777777778</v>
      </c>
      <c r="B12" s="3">
        <v>101</v>
      </c>
      <c r="C12" s="3" t="s">
        <v>82</v>
      </c>
      <c r="D12" s="3" t="s">
        <v>3</v>
      </c>
    </row>
    <row r="13" spans="1:6" x14ac:dyDescent="0.2">
      <c r="A13" s="2">
        <v>42038.63958333333</v>
      </c>
      <c r="B13" s="3">
        <v>101</v>
      </c>
      <c r="C13" s="3" t="s">
        <v>81</v>
      </c>
      <c r="D13" s="3" t="s">
        <v>3</v>
      </c>
    </row>
    <row r="14" spans="1:6" x14ac:dyDescent="0.2">
      <c r="A14" s="2">
        <v>42038.668055555558</v>
      </c>
      <c r="B14" s="3">
        <v>101</v>
      </c>
      <c r="C14" s="3" t="s">
        <v>82</v>
      </c>
      <c r="D14" s="3" t="s">
        <v>3</v>
      </c>
    </row>
    <row r="15" spans="1:6" x14ac:dyDescent="0.2">
      <c r="A15" s="2">
        <v>42038.884027777778</v>
      </c>
      <c r="B15" s="3">
        <v>101</v>
      </c>
      <c r="C15" s="3" t="s">
        <v>81</v>
      </c>
      <c r="D15" s="3" t="s">
        <v>3</v>
      </c>
    </row>
    <row r="16" spans="1:6" x14ac:dyDescent="0.2">
      <c r="A16" s="2">
        <v>42039.352083333331</v>
      </c>
      <c r="B16" s="3">
        <v>101</v>
      </c>
      <c r="C16" s="3" t="s">
        <v>82</v>
      </c>
      <c r="D16" s="3" t="s">
        <v>3</v>
      </c>
    </row>
    <row r="17" spans="1:4" x14ac:dyDescent="0.2">
      <c r="A17" s="2">
        <v>42039.625694444447</v>
      </c>
      <c r="B17" s="3">
        <v>101</v>
      </c>
      <c r="C17" s="3" t="s">
        <v>81</v>
      </c>
      <c r="D17" s="3" t="s">
        <v>3</v>
      </c>
    </row>
    <row r="18" spans="1:4" x14ac:dyDescent="0.2">
      <c r="A18" s="2">
        <v>42039.658333333333</v>
      </c>
      <c r="B18" s="3">
        <v>101</v>
      </c>
      <c r="C18" s="3" t="s">
        <v>82</v>
      </c>
      <c r="D18" s="3" t="s">
        <v>3</v>
      </c>
    </row>
    <row r="19" spans="1:4" x14ac:dyDescent="0.2">
      <c r="A19" s="2">
        <v>42039.894444444442</v>
      </c>
      <c r="B19" s="3">
        <v>101</v>
      </c>
      <c r="C19" s="3" t="s">
        <v>81</v>
      </c>
      <c r="D19" s="3" t="s">
        <v>3</v>
      </c>
    </row>
    <row r="20" spans="1:4" x14ac:dyDescent="0.2">
      <c r="A20" s="2">
        <v>42040.336111111108</v>
      </c>
      <c r="B20" s="3">
        <v>101</v>
      </c>
      <c r="C20" s="3" t="s">
        <v>82</v>
      </c>
      <c r="D20" s="3" t="s">
        <v>3</v>
      </c>
    </row>
    <row r="21" spans="1:4" x14ac:dyDescent="0.2">
      <c r="A21" s="2">
        <v>42040.626388888886</v>
      </c>
      <c r="B21" s="3">
        <v>101</v>
      </c>
      <c r="C21" s="3" t="s">
        <v>81</v>
      </c>
      <c r="D21" s="3" t="s">
        <v>3</v>
      </c>
    </row>
    <row r="22" spans="1:4" x14ac:dyDescent="0.2">
      <c r="A22" s="2">
        <v>42040.661805555559</v>
      </c>
      <c r="B22" s="3">
        <v>101</v>
      </c>
      <c r="C22" s="3" t="s">
        <v>82</v>
      </c>
      <c r="D22" s="3" t="s">
        <v>3</v>
      </c>
    </row>
    <row r="23" spans="1:4" x14ac:dyDescent="0.2">
      <c r="A23" s="2">
        <v>42040.884027777778</v>
      </c>
      <c r="B23" s="3">
        <v>101</v>
      </c>
      <c r="C23" s="3" t="s">
        <v>81</v>
      </c>
      <c r="D23" s="3" t="s">
        <v>3</v>
      </c>
    </row>
    <row r="24" spans="1:4" x14ac:dyDescent="0.2">
      <c r="A24" s="2">
        <v>42041.339583333334</v>
      </c>
      <c r="B24" s="3">
        <v>101</v>
      </c>
      <c r="C24" s="3" t="s">
        <v>82</v>
      </c>
      <c r="D24" s="3" t="s">
        <v>3</v>
      </c>
    </row>
    <row r="25" spans="1:4" x14ac:dyDescent="0.2">
      <c r="A25" s="2">
        <v>42041.619444444441</v>
      </c>
      <c r="B25" s="3">
        <v>101</v>
      </c>
      <c r="C25" s="3" t="s">
        <v>81</v>
      </c>
      <c r="D25" s="3" t="s">
        <v>3</v>
      </c>
    </row>
    <row r="26" spans="1:4" x14ac:dyDescent="0.2">
      <c r="A26" s="2">
        <v>42041.675694444442</v>
      </c>
      <c r="B26" s="3">
        <v>101</v>
      </c>
      <c r="C26" s="3" t="s">
        <v>82</v>
      </c>
      <c r="D26" s="3" t="s">
        <v>3</v>
      </c>
    </row>
    <row r="27" spans="1:4" x14ac:dyDescent="0.2">
      <c r="A27" s="2">
        <v>42041.913888888892</v>
      </c>
      <c r="B27" s="3">
        <v>101</v>
      </c>
      <c r="C27" s="3" t="s">
        <v>81</v>
      </c>
      <c r="D27" s="3" t="s">
        <v>3</v>
      </c>
    </row>
    <row r="28" spans="1:4" x14ac:dyDescent="0.2">
      <c r="A28" s="2">
        <v>42042.326388888891</v>
      </c>
      <c r="B28" s="3">
        <v>101</v>
      </c>
      <c r="C28" s="3" t="s">
        <v>82</v>
      </c>
      <c r="D28" s="3" t="s">
        <v>3</v>
      </c>
    </row>
    <row r="29" spans="1:4" x14ac:dyDescent="0.2">
      <c r="A29" s="2">
        <v>42042.807638888888</v>
      </c>
      <c r="B29" s="3">
        <v>200</v>
      </c>
      <c r="C29" s="3" t="s">
        <v>82</v>
      </c>
      <c r="D29" s="3" t="s">
        <v>83</v>
      </c>
    </row>
    <row r="30" spans="1:4" x14ac:dyDescent="0.2">
      <c r="A30" s="2">
        <v>42042.943749999999</v>
      </c>
      <c r="B30" s="3">
        <v>101</v>
      </c>
      <c r="C30" s="3" t="s">
        <v>81</v>
      </c>
      <c r="D30" s="3" t="s">
        <v>3</v>
      </c>
    </row>
    <row r="31" spans="1:4" x14ac:dyDescent="0.2">
      <c r="A31" s="2">
        <v>42043.343055555553</v>
      </c>
      <c r="B31" s="3">
        <v>101</v>
      </c>
      <c r="C31" s="3" t="s">
        <v>82</v>
      </c>
      <c r="D31" s="3" t="s">
        <v>3</v>
      </c>
    </row>
    <row r="32" spans="1:4" x14ac:dyDescent="0.2">
      <c r="A32" s="2">
        <v>42043.581944444442</v>
      </c>
      <c r="B32" s="3">
        <v>900</v>
      </c>
      <c r="C32" s="3" t="s">
        <v>81</v>
      </c>
      <c r="D32" s="3" t="s">
        <v>3</v>
      </c>
    </row>
    <row r="33" spans="1:4" x14ac:dyDescent="0.2">
      <c r="A33" s="2">
        <v>42043.623611111114</v>
      </c>
      <c r="B33" s="3">
        <v>101</v>
      </c>
      <c r="C33" s="3" t="s">
        <v>82</v>
      </c>
      <c r="D33" s="3" t="s">
        <v>3</v>
      </c>
    </row>
    <row r="34" spans="1:4" x14ac:dyDescent="0.2">
      <c r="A34" s="2">
        <v>42043.861805555556</v>
      </c>
      <c r="B34" s="3">
        <v>101</v>
      </c>
      <c r="C34" s="3" t="s">
        <v>81</v>
      </c>
      <c r="D34" s="3" t="s">
        <v>3</v>
      </c>
    </row>
    <row r="35" spans="1:4" x14ac:dyDescent="0.2">
      <c r="A35" s="2">
        <v>42044.333333333336</v>
      </c>
      <c r="B35" s="3">
        <v>101</v>
      </c>
      <c r="C35" s="3" t="s">
        <v>82</v>
      </c>
      <c r="D35" s="3" t="s">
        <v>3</v>
      </c>
    </row>
    <row r="36" spans="1:4" x14ac:dyDescent="0.2">
      <c r="A36" s="2">
        <v>42044.892361111109</v>
      </c>
      <c r="B36" s="3">
        <v>101</v>
      </c>
      <c r="C36" s="3" t="s">
        <v>81</v>
      </c>
      <c r="D36" s="3" t="s">
        <v>3</v>
      </c>
    </row>
    <row r="37" spans="1:4" x14ac:dyDescent="0.2">
      <c r="A37" s="2">
        <v>42045.336805555555</v>
      </c>
      <c r="B37" s="3">
        <v>101</v>
      </c>
      <c r="C37" s="3" t="s">
        <v>82</v>
      </c>
      <c r="D37" s="3" t="s">
        <v>3</v>
      </c>
    </row>
    <row r="38" spans="1:4" x14ac:dyDescent="0.2">
      <c r="A38" s="2">
        <v>42045.626388888886</v>
      </c>
      <c r="B38" s="3">
        <v>101</v>
      </c>
      <c r="C38" s="3" t="s">
        <v>81</v>
      </c>
      <c r="D38" s="3" t="s">
        <v>3</v>
      </c>
    </row>
    <row r="39" spans="1:4" x14ac:dyDescent="0.2">
      <c r="A39" s="2">
        <v>42045.659722222219</v>
      </c>
      <c r="B39" s="3">
        <v>101</v>
      </c>
      <c r="C39" s="3" t="s">
        <v>82</v>
      </c>
      <c r="D39" s="3" t="s">
        <v>3</v>
      </c>
    </row>
    <row r="40" spans="1:4" x14ac:dyDescent="0.2">
      <c r="A40" s="2">
        <v>42045.928472222222</v>
      </c>
      <c r="B40" s="3">
        <v>101</v>
      </c>
      <c r="C40" s="3" t="s">
        <v>81</v>
      </c>
      <c r="D40" s="3" t="s">
        <v>3</v>
      </c>
    </row>
    <row r="41" spans="1:4" x14ac:dyDescent="0.2">
      <c r="A41" s="2">
        <v>42046.332638888889</v>
      </c>
      <c r="B41" s="3">
        <v>101</v>
      </c>
      <c r="C41" s="3" t="s">
        <v>82</v>
      </c>
      <c r="D41" s="3" t="s">
        <v>3</v>
      </c>
    </row>
    <row r="42" spans="1:4" x14ac:dyDescent="0.2">
      <c r="A42" s="2">
        <v>42047.041666666664</v>
      </c>
      <c r="B42" s="3">
        <v>101</v>
      </c>
      <c r="C42" s="3" t="s">
        <v>81</v>
      </c>
      <c r="D42" s="3" t="s">
        <v>3</v>
      </c>
    </row>
    <row r="43" spans="1:4" x14ac:dyDescent="0.2">
      <c r="A43" s="2">
        <v>42047.340277777781</v>
      </c>
      <c r="B43" s="3">
        <v>101</v>
      </c>
      <c r="C43" s="3" t="s">
        <v>82</v>
      </c>
      <c r="D43" s="3" t="s">
        <v>3</v>
      </c>
    </row>
    <row r="44" spans="1:4" x14ac:dyDescent="0.2">
      <c r="A44" s="2">
        <v>42048.095138888886</v>
      </c>
      <c r="B44" s="3">
        <v>101</v>
      </c>
      <c r="C44" s="3" t="s">
        <v>81</v>
      </c>
      <c r="D44" s="3" t="s">
        <v>3</v>
      </c>
    </row>
    <row r="45" spans="1:4" x14ac:dyDescent="0.2">
      <c r="A45" s="2">
        <v>42048.335416666669</v>
      </c>
      <c r="B45" s="3">
        <v>101</v>
      </c>
      <c r="C45" s="3" t="s">
        <v>82</v>
      </c>
      <c r="D45" s="3" t="s">
        <v>3</v>
      </c>
    </row>
    <row r="46" spans="1:4" x14ac:dyDescent="0.2">
      <c r="A46" s="2">
        <v>42049.240972222222</v>
      </c>
      <c r="B46" s="3">
        <v>101</v>
      </c>
      <c r="C46" s="3" t="s">
        <v>81</v>
      </c>
      <c r="D46" s="3" t="s">
        <v>3</v>
      </c>
    </row>
    <row r="47" spans="1:4" x14ac:dyDescent="0.2">
      <c r="A47" s="2">
        <v>42049.338888888888</v>
      </c>
      <c r="B47" s="3">
        <v>101</v>
      </c>
      <c r="C47" s="3" t="s">
        <v>82</v>
      </c>
      <c r="D47" s="3" t="s">
        <v>3</v>
      </c>
    </row>
    <row r="48" spans="1:4" x14ac:dyDescent="0.2">
      <c r="A48" s="2">
        <v>42049.929861111108</v>
      </c>
      <c r="B48" s="3">
        <v>101</v>
      </c>
      <c r="C48" s="3" t="s">
        <v>81</v>
      </c>
      <c r="D48" s="3" t="s">
        <v>3</v>
      </c>
    </row>
    <row r="49" spans="1:4" x14ac:dyDescent="0.2">
      <c r="A49" s="2">
        <v>42050.371527777781</v>
      </c>
      <c r="B49" s="3">
        <v>101</v>
      </c>
      <c r="C49" s="3" t="s">
        <v>82</v>
      </c>
      <c r="D49" s="3" t="s">
        <v>3</v>
      </c>
    </row>
    <row r="50" spans="1:4" x14ac:dyDescent="0.2">
      <c r="A50" s="2">
        <v>42051.048611111109</v>
      </c>
      <c r="B50" s="3">
        <v>101</v>
      </c>
      <c r="C50" s="3" t="s">
        <v>81</v>
      </c>
      <c r="D50" s="3" t="s">
        <v>3</v>
      </c>
    </row>
    <row r="51" spans="1:4" x14ac:dyDescent="0.2">
      <c r="A51" s="2">
        <v>42051.327777777777</v>
      </c>
      <c r="B51" s="3">
        <v>101</v>
      </c>
      <c r="C51" s="3" t="s">
        <v>82</v>
      </c>
      <c r="D51" s="3" t="s">
        <v>3</v>
      </c>
    </row>
    <row r="52" spans="1:4" x14ac:dyDescent="0.2">
      <c r="A52" s="2">
        <v>42052.118055555555</v>
      </c>
      <c r="B52" s="3">
        <v>101</v>
      </c>
      <c r="C52" s="3" t="s">
        <v>81</v>
      </c>
      <c r="D52" s="3" t="s">
        <v>3</v>
      </c>
    </row>
    <row r="53" spans="1:4" x14ac:dyDescent="0.2">
      <c r="A53" s="2">
        <v>42052.335416666669</v>
      </c>
      <c r="B53" s="3">
        <v>101</v>
      </c>
      <c r="C53" s="3" t="s">
        <v>82</v>
      </c>
      <c r="D53" s="3" t="s">
        <v>3</v>
      </c>
    </row>
    <row r="54" spans="1:4" x14ac:dyDescent="0.2">
      <c r="A54" s="2">
        <v>42053.123611111114</v>
      </c>
      <c r="B54" s="3">
        <v>101</v>
      </c>
      <c r="C54" s="3" t="s">
        <v>81</v>
      </c>
      <c r="D54" s="3" t="s">
        <v>3</v>
      </c>
    </row>
    <row r="55" spans="1:4" x14ac:dyDescent="0.2">
      <c r="A55" s="2">
        <v>42053.337500000001</v>
      </c>
      <c r="B55" s="3">
        <v>101</v>
      </c>
      <c r="C55" s="3" t="s">
        <v>82</v>
      </c>
      <c r="D55" s="3" t="s">
        <v>3</v>
      </c>
    </row>
    <row r="56" spans="1:4" x14ac:dyDescent="0.2">
      <c r="A56" s="2">
        <v>42054.020138888889</v>
      </c>
      <c r="B56" s="3">
        <v>101</v>
      </c>
      <c r="C56" s="3" t="s">
        <v>81</v>
      </c>
      <c r="D56" s="3" t="s">
        <v>3</v>
      </c>
    </row>
    <row r="57" spans="1:4" x14ac:dyDescent="0.2">
      <c r="A57" s="2">
        <v>42054.375</v>
      </c>
      <c r="B57" s="3">
        <v>999</v>
      </c>
      <c r="C57" s="3" t="s">
        <v>82</v>
      </c>
      <c r="D57" s="3" t="s">
        <v>3</v>
      </c>
    </row>
    <row r="58" spans="1:4" x14ac:dyDescent="0.2">
      <c r="A58" s="2">
        <v>42054.375</v>
      </c>
      <c r="B58" s="3">
        <v>999</v>
      </c>
      <c r="C58" s="3" t="s">
        <v>81</v>
      </c>
      <c r="D58" s="3" t="s">
        <v>3</v>
      </c>
    </row>
    <row r="59" spans="1:4" x14ac:dyDescent="0.2">
      <c r="A59" s="2">
        <v>42055.529166666667</v>
      </c>
      <c r="B59" s="3">
        <v>202</v>
      </c>
      <c r="C59" s="3" t="s">
        <v>82</v>
      </c>
      <c r="D59" s="3" t="s">
        <v>3</v>
      </c>
    </row>
    <row r="60" spans="1:4" x14ac:dyDescent="0.2">
      <c r="A60" s="2">
        <v>42055.833333333336</v>
      </c>
      <c r="B60" s="3">
        <v>901</v>
      </c>
      <c r="C60" s="3" t="s">
        <v>81</v>
      </c>
      <c r="D60" s="3" t="s">
        <v>3</v>
      </c>
    </row>
    <row r="61" spans="1:4" x14ac:dyDescent="0.2">
      <c r="A61" s="2">
        <v>42057.442361111112</v>
      </c>
      <c r="B61" s="3">
        <v>101</v>
      </c>
      <c r="C61" s="3" t="s">
        <v>82</v>
      </c>
      <c r="D61" s="3" t="s">
        <v>3</v>
      </c>
    </row>
    <row r="62" spans="1:4" x14ac:dyDescent="0.2">
      <c r="A62" s="2">
        <v>42057.817361111112</v>
      </c>
      <c r="B62" s="3">
        <v>101</v>
      </c>
      <c r="C62" s="3" t="s">
        <v>81</v>
      </c>
      <c r="D62" s="3" t="s">
        <v>3</v>
      </c>
    </row>
    <row r="63" spans="1:4" x14ac:dyDescent="0.2">
      <c r="A63" s="2">
        <v>42058.307638888888</v>
      </c>
      <c r="B63" s="3">
        <v>101</v>
      </c>
      <c r="C63" s="3" t="s">
        <v>82</v>
      </c>
      <c r="D63" s="3" t="s">
        <v>3</v>
      </c>
    </row>
    <row r="64" spans="1:4" x14ac:dyDescent="0.2">
      <c r="A64" s="2">
        <v>42058.663888888892</v>
      </c>
      <c r="B64" s="3">
        <v>101</v>
      </c>
      <c r="C64" s="3" t="s">
        <v>81</v>
      </c>
      <c r="D64" s="3" t="s">
        <v>3</v>
      </c>
    </row>
    <row r="65" spans="1:4" x14ac:dyDescent="0.2">
      <c r="A65" s="2">
        <v>42059.349305555559</v>
      </c>
      <c r="B65" s="3">
        <v>101</v>
      </c>
      <c r="C65" s="3" t="s">
        <v>82</v>
      </c>
      <c r="D65" s="3" t="s">
        <v>3</v>
      </c>
    </row>
    <row r="66" spans="1:4" x14ac:dyDescent="0.2">
      <c r="A66" s="2">
        <v>42059.785416666666</v>
      </c>
      <c r="B66" s="3">
        <v>101</v>
      </c>
      <c r="C66" s="3" t="s">
        <v>81</v>
      </c>
      <c r="D66" s="3" t="s">
        <v>3</v>
      </c>
    </row>
    <row r="67" spans="1:4" x14ac:dyDescent="0.2">
      <c r="A67" s="2">
        <v>42060.353472222225</v>
      </c>
      <c r="B67" s="3">
        <v>101</v>
      </c>
      <c r="C67" s="3" t="s">
        <v>82</v>
      </c>
      <c r="D67" s="3" t="s">
        <v>3</v>
      </c>
    </row>
    <row r="68" spans="1:4" x14ac:dyDescent="0.2">
      <c r="A68" s="2">
        <v>42060.894444444442</v>
      </c>
      <c r="B68" s="3">
        <v>101</v>
      </c>
      <c r="C68" s="3" t="s">
        <v>81</v>
      </c>
      <c r="D68" s="3" t="s">
        <v>3</v>
      </c>
    </row>
    <row r="69" spans="1:4" x14ac:dyDescent="0.2">
      <c r="A69" s="2">
        <v>42061.353472222225</v>
      </c>
      <c r="B69" s="3">
        <v>101</v>
      </c>
      <c r="C69" s="3" t="s">
        <v>82</v>
      </c>
      <c r="D69" s="3" t="s">
        <v>3</v>
      </c>
    </row>
    <row r="70" spans="1:4" x14ac:dyDescent="0.2">
      <c r="A70" s="2">
        <v>42061.884027777778</v>
      </c>
      <c r="B70" s="3">
        <v>101</v>
      </c>
      <c r="C70" s="3" t="s">
        <v>81</v>
      </c>
      <c r="D70" s="3" t="s">
        <v>3</v>
      </c>
    </row>
    <row r="71" spans="1:4" x14ac:dyDescent="0.2">
      <c r="A71" s="2">
        <v>42062.349305555559</v>
      </c>
      <c r="B71" s="3">
        <v>101</v>
      </c>
      <c r="C71" s="3" t="s">
        <v>82</v>
      </c>
      <c r="D71" s="3" t="s">
        <v>3</v>
      </c>
    </row>
    <row r="72" spans="1:4" x14ac:dyDescent="0.2">
      <c r="A72" s="2">
        <v>42063.118750000001</v>
      </c>
      <c r="B72" s="3">
        <v>101</v>
      </c>
      <c r="C72" s="3" t="s">
        <v>81</v>
      </c>
      <c r="D72" s="3" t="s">
        <v>3</v>
      </c>
    </row>
    <row r="73" spans="1:4" x14ac:dyDescent="0.2">
      <c r="A73" s="2">
        <v>42063.330555555556</v>
      </c>
      <c r="B73" s="3">
        <v>101</v>
      </c>
      <c r="C73" s="3" t="s">
        <v>82</v>
      </c>
      <c r="D73" s="3" t="s">
        <v>3</v>
      </c>
    </row>
    <row r="74" spans="1:4" x14ac:dyDescent="0.2">
      <c r="A74" s="2">
        <v>42063.851388888892</v>
      </c>
      <c r="B74" s="3">
        <v>101</v>
      </c>
      <c r="C74" s="3" t="s">
        <v>81</v>
      </c>
      <c r="D74" s="3" t="s">
        <v>3</v>
      </c>
    </row>
  </sheetData>
  <sortState ref="A4:E75">
    <sortCondition ref="A4"/>
  </sortState>
  <conditionalFormatting sqref="A4:D58730">
    <cfRule type="expression" dxfId="4" priority="9" stopIfTrue="1">
      <formula>$B4=900</formula>
    </cfRule>
    <cfRule type="expression" dxfId="3" priority="10" stopIfTrue="1">
      <formula>$D4="Invalid"</formula>
    </cfRule>
  </conditionalFormatting>
  <conditionalFormatting sqref="A1:D3">
    <cfRule type="expression" dxfId="2" priority="1" stopIfTrue="1">
      <formula>$B1=900</formula>
    </cfRule>
    <cfRule type="expression" dxfId="1" priority="2" stopIfTrue="1">
      <formula>$D1="Invalid"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9" fitToHeight="2" orientation="portrait" r:id="rId1"/>
  <headerFooter>
    <oddFooter>&amp;L&amp;D  &amp;T&amp;R&amp;P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lidateStatus">
                <anchor>
                  <from>
                    <xdr:col>5</xdr:col>
                    <xdr:colOff>133350</xdr:colOff>
                    <xdr:row>12</xdr:row>
                    <xdr:rowOff>114300</xdr:rowOff>
                  </from>
                  <to>
                    <xdr:col>8</xdr:col>
                    <xdr:colOff>66675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verTimeCountCheck">
                <anchor>
                  <from>
                    <xdr:col>5</xdr:col>
                    <xdr:colOff>152400</xdr:colOff>
                    <xdr:row>18</xdr:row>
                    <xdr:rowOff>95250</xdr:rowOff>
                  </from>
                  <to>
                    <xdr:col>8</xdr:col>
                    <xdr:colOff>95250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penFrmSelection">
                <anchor>
                  <from>
                    <xdr:col>5</xdr:col>
                    <xdr:colOff>152400</xdr:colOff>
                    <xdr:row>5</xdr:row>
                    <xdr:rowOff>57150</xdr:rowOff>
                  </from>
                  <to>
                    <xdr:col>8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vertime"/>
  <dimension ref="A1:I133"/>
  <sheetViews>
    <sheetView topLeftCell="A4" zoomScaleNormal="100" workbookViewId="0">
      <selection activeCell="H11" sqref="H11"/>
    </sheetView>
  </sheetViews>
  <sheetFormatPr defaultRowHeight="12.75" x14ac:dyDescent="0.2"/>
  <cols>
    <col min="1" max="1" width="11.7109375" style="3" customWidth="1"/>
    <col min="2" max="3" width="11.28515625" style="3" customWidth="1"/>
    <col min="4" max="4" width="8.140625" style="17" bestFit="1" customWidth="1"/>
    <col min="5" max="6" width="8.85546875" style="3"/>
    <col min="7" max="8" width="8.85546875" style="7"/>
    <col min="9" max="256" width="8.85546875" style="3"/>
    <col min="257" max="257" width="11.7109375" style="3" customWidth="1"/>
    <col min="258" max="259" width="11.28515625" style="3" customWidth="1"/>
    <col min="260" max="260" width="8.140625" style="3" bestFit="1" customWidth="1"/>
    <col min="261" max="512" width="8.85546875" style="3"/>
    <col min="513" max="513" width="11.7109375" style="3" customWidth="1"/>
    <col min="514" max="515" width="11.28515625" style="3" customWidth="1"/>
    <col min="516" max="516" width="8.140625" style="3" bestFit="1" customWidth="1"/>
    <col min="517" max="768" width="8.85546875" style="3"/>
    <col min="769" max="769" width="11.7109375" style="3" customWidth="1"/>
    <col min="770" max="771" width="11.28515625" style="3" customWidth="1"/>
    <col min="772" max="772" width="8.140625" style="3" bestFit="1" customWidth="1"/>
    <col min="773" max="1024" width="8.85546875" style="3"/>
    <col min="1025" max="1025" width="11.7109375" style="3" customWidth="1"/>
    <col min="1026" max="1027" width="11.28515625" style="3" customWidth="1"/>
    <col min="1028" max="1028" width="8.140625" style="3" bestFit="1" customWidth="1"/>
    <col min="1029" max="1280" width="8.85546875" style="3"/>
    <col min="1281" max="1281" width="11.7109375" style="3" customWidth="1"/>
    <col min="1282" max="1283" width="11.28515625" style="3" customWidth="1"/>
    <col min="1284" max="1284" width="8.140625" style="3" bestFit="1" customWidth="1"/>
    <col min="1285" max="1536" width="8.85546875" style="3"/>
    <col min="1537" max="1537" width="11.7109375" style="3" customWidth="1"/>
    <col min="1538" max="1539" width="11.28515625" style="3" customWidth="1"/>
    <col min="1540" max="1540" width="8.140625" style="3" bestFit="1" customWidth="1"/>
    <col min="1541" max="1792" width="8.85546875" style="3"/>
    <col min="1793" max="1793" width="11.7109375" style="3" customWidth="1"/>
    <col min="1794" max="1795" width="11.28515625" style="3" customWidth="1"/>
    <col min="1796" max="1796" width="8.140625" style="3" bestFit="1" customWidth="1"/>
    <col min="1797" max="2048" width="8.85546875" style="3"/>
    <col min="2049" max="2049" width="11.7109375" style="3" customWidth="1"/>
    <col min="2050" max="2051" width="11.28515625" style="3" customWidth="1"/>
    <col min="2052" max="2052" width="8.140625" style="3" bestFit="1" customWidth="1"/>
    <col min="2053" max="2304" width="8.85546875" style="3"/>
    <col min="2305" max="2305" width="11.7109375" style="3" customWidth="1"/>
    <col min="2306" max="2307" width="11.28515625" style="3" customWidth="1"/>
    <col min="2308" max="2308" width="8.140625" style="3" bestFit="1" customWidth="1"/>
    <col min="2309" max="2560" width="8.85546875" style="3"/>
    <col min="2561" max="2561" width="11.7109375" style="3" customWidth="1"/>
    <col min="2562" max="2563" width="11.28515625" style="3" customWidth="1"/>
    <col min="2564" max="2564" width="8.140625" style="3" bestFit="1" customWidth="1"/>
    <col min="2565" max="2816" width="8.85546875" style="3"/>
    <col min="2817" max="2817" width="11.7109375" style="3" customWidth="1"/>
    <col min="2818" max="2819" width="11.28515625" style="3" customWidth="1"/>
    <col min="2820" max="2820" width="8.140625" style="3" bestFit="1" customWidth="1"/>
    <col min="2821" max="3072" width="8.85546875" style="3"/>
    <col min="3073" max="3073" width="11.7109375" style="3" customWidth="1"/>
    <col min="3074" max="3075" width="11.28515625" style="3" customWidth="1"/>
    <col min="3076" max="3076" width="8.140625" style="3" bestFit="1" customWidth="1"/>
    <col min="3077" max="3328" width="8.85546875" style="3"/>
    <col min="3329" max="3329" width="11.7109375" style="3" customWidth="1"/>
    <col min="3330" max="3331" width="11.28515625" style="3" customWidth="1"/>
    <col min="3332" max="3332" width="8.140625" style="3" bestFit="1" customWidth="1"/>
    <col min="3333" max="3584" width="8.85546875" style="3"/>
    <col min="3585" max="3585" width="11.7109375" style="3" customWidth="1"/>
    <col min="3586" max="3587" width="11.28515625" style="3" customWidth="1"/>
    <col min="3588" max="3588" width="8.140625" style="3" bestFit="1" customWidth="1"/>
    <col min="3589" max="3840" width="8.85546875" style="3"/>
    <col min="3841" max="3841" width="11.7109375" style="3" customWidth="1"/>
    <col min="3842" max="3843" width="11.28515625" style="3" customWidth="1"/>
    <col min="3844" max="3844" width="8.140625" style="3" bestFit="1" customWidth="1"/>
    <col min="3845" max="4096" width="8.85546875" style="3"/>
    <col min="4097" max="4097" width="11.7109375" style="3" customWidth="1"/>
    <col min="4098" max="4099" width="11.28515625" style="3" customWidth="1"/>
    <col min="4100" max="4100" width="8.140625" style="3" bestFit="1" customWidth="1"/>
    <col min="4101" max="4352" width="8.85546875" style="3"/>
    <col min="4353" max="4353" width="11.7109375" style="3" customWidth="1"/>
    <col min="4354" max="4355" width="11.28515625" style="3" customWidth="1"/>
    <col min="4356" max="4356" width="8.140625" style="3" bestFit="1" customWidth="1"/>
    <col min="4357" max="4608" width="8.85546875" style="3"/>
    <col min="4609" max="4609" width="11.7109375" style="3" customWidth="1"/>
    <col min="4610" max="4611" width="11.28515625" style="3" customWidth="1"/>
    <col min="4612" max="4612" width="8.140625" style="3" bestFit="1" customWidth="1"/>
    <col min="4613" max="4864" width="8.85546875" style="3"/>
    <col min="4865" max="4865" width="11.7109375" style="3" customWidth="1"/>
    <col min="4866" max="4867" width="11.28515625" style="3" customWidth="1"/>
    <col min="4868" max="4868" width="8.140625" style="3" bestFit="1" customWidth="1"/>
    <col min="4869" max="5120" width="8.85546875" style="3"/>
    <col min="5121" max="5121" width="11.7109375" style="3" customWidth="1"/>
    <col min="5122" max="5123" width="11.28515625" style="3" customWidth="1"/>
    <col min="5124" max="5124" width="8.140625" style="3" bestFit="1" customWidth="1"/>
    <col min="5125" max="5376" width="8.85546875" style="3"/>
    <col min="5377" max="5377" width="11.7109375" style="3" customWidth="1"/>
    <col min="5378" max="5379" width="11.28515625" style="3" customWidth="1"/>
    <col min="5380" max="5380" width="8.140625" style="3" bestFit="1" customWidth="1"/>
    <col min="5381" max="5632" width="8.85546875" style="3"/>
    <col min="5633" max="5633" width="11.7109375" style="3" customWidth="1"/>
    <col min="5634" max="5635" width="11.28515625" style="3" customWidth="1"/>
    <col min="5636" max="5636" width="8.140625" style="3" bestFit="1" customWidth="1"/>
    <col min="5637" max="5888" width="8.85546875" style="3"/>
    <col min="5889" max="5889" width="11.7109375" style="3" customWidth="1"/>
    <col min="5890" max="5891" width="11.28515625" style="3" customWidth="1"/>
    <col min="5892" max="5892" width="8.140625" style="3" bestFit="1" customWidth="1"/>
    <col min="5893" max="6144" width="8.85546875" style="3"/>
    <col min="6145" max="6145" width="11.7109375" style="3" customWidth="1"/>
    <col min="6146" max="6147" width="11.28515625" style="3" customWidth="1"/>
    <col min="6148" max="6148" width="8.140625" style="3" bestFit="1" customWidth="1"/>
    <col min="6149" max="6400" width="8.85546875" style="3"/>
    <col min="6401" max="6401" width="11.7109375" style="3" customWidth="1"/>
    <col min="6402" max="6403" width="11.28515625" style="3" customWidth="1"/>
    <col min="6404" max="6404" width="8.140625" style="3" bestFit="1" customWidth="1"/>
    <col min="6405" max="6656" width="8.85546875" style="3"/>
    <col min="6657" max="6657" width="11.7109375" style="3" customWidth="1"/>
    <col min="6658" max="6659" width="11.28515625" style="3" customWidth="1"/>
    <col min="6660" max="6660" width="8.140625" style="3" bestFit="1" customWidth="1"/>
    <col min="6661" max="6912" width="8.85546875" style="3"/>
    <col min="6913" max="6913" width="11.7109375" style="3" customWidth="1"/>
    <col min="6914" max="6915" width="11.28515625" style="3" customWidth="1"/>
    <col min="6916" max="6916" width="8.140625" style="3" bestFit="1" customWidth="1"/>
    <col min="6917" max="7168" width="8.85546875" style="3"/>
    <col min="7169" max="7169" width="11.7109375" style="3" customWidth="1"/>
    <col min="7170" max="7171" width="11.28515625" style="3" customWidth="1"/>
    <col min="7172" max="7172" width="8.140625" style="3" bestFit="1" customWidth="1"/>
    <col min="7173" max="7424" width="8.85546875" style="3"/>
    <col min="7425" max="7425" width="11.7109375" style="3" customWidth="1"/>
    <col min="7426" max="7427" width="11.28515625" style="3" customWidth="1"/>
    <col min="7428" max="7428" width="8.140625" style="3" bestFit="1" customWidth="1"/>
    <col min="7429" max="7680" width="8.85546875" style="3"/>
    <col min="7681" max="7681" width="11.7109375" style="3" customWidth="1"/>
    <col min="7682" max="7683" width="11.28515625" style="3" customWidth="1"/>
    <col min="7684" max="7684" width="8.140625" style="3" bestFit="1" customWidth="1"/>
    <col min="7685" max="7936" width="8.85546875" style="3"/>
    <col min="7937" max="7937" width="11.7109375" style="3" customWidth="1"/>
    <col min="7938" max="7939" width="11.28515625" style="3" customWidth="1"/>
    <col min="7940" max="7940" width="8.140625" style="3" bestFit="1" customWidth="1"/>
    <col min="7941" max="8192" width="8.85546875" style="3"/>
    <col min="8193" max="8193" width="11.7109375" style="3" customWidth="1"/>
    <col min="8194" max="8195" width="11.28515625" style="3" customWidth="1"/>
    <col min="8196" max="8196" width="8.140625" style="3" bestFit="1" customWidth="1"/>
    <col min="8197" max="8448" width="8.85546875" style="3"/>
    <col min="8449" max="8449" width="11.7109375" style="3" customWidth="1"/>
    <col min="8450" max="8451" width="11.28515625" style="3" customWidth="1"/>
    <col min="8452" max="8452" width="8.140625" style="3" bestFit="1" customWidth="1"/>
    <col min="8453" max="8704" width="8.85546875" style="3"/>
    <col min="8705" max="8705" width="11.7109375" style="3" customWidth="1"/>
    <col min="8706" max="8707" width="11.28515625" style="3" customWidth="1"/>
    <col min="8708" max="8708" width="8.140625" style="3" bestFit="1" customWidth="1"/>
    <col min="8709" max="8960" width="8.85546875" style="3"/>
    <col min="8961" max="8961" width="11.7109375" style="3" customWidth="1"/>
    <col min="8962" max="8963" width="11.28515625" style="3" customWidth="1"/>
    <col min="8964" max="8964" width="8.140625" style="3" bestFit="1" customWidth="1"/>
    <col min="8965" max="9216" width="8.85546875" style="3"/>
    <col min="9217" max="9217" width="11.7109375" style="3" customWidth="1"/>
    <col min="9218" max="9219" width="11.28515625" style="3" customWidth="1"/>
    <col min="9220" max="9220" width="8.140625" style="3" bestFit="1" customWidth="1"/>
    <col min="9221" max="9472" width="8.85546875" style="3"/>
    <col min="9473" max="9473" width="11.7109375" style="3" customWidth="1"/>
    <col min="9474" max="9475" width="11.28515625" style="3" customWidth="1"/>
    <col min="9476" max="9476" width="8.140625" style="3" bestFit="1" customWidth="1"/>
    <col min="9477" max="9728" width="8.85546875" style="3"/>
    <col min="9729" max="9729" width="11.7109375" style="3" customWidth="1"/>
    <col min="9730" max="9731" width="11.28515625" style="3" customWidth="1"/>
    <col min="9732" max="9732" width="8.140625" style="3" bestFit="1" customWidth="1"/>
    <col min="9733" max="9984" width="8.85546875" style="3"/>
    <col min="9985" max="9985" width="11.7109375" style="3" customWidth="1"/>
    <col min="9986" max="9987" width="11.28515625" style="3" customWidth="1"/>
    <col min="9988" max="9988" width="8.140625" style="3" bestFit="1" customWidth="1"/>
    <col min="9989" max="10240" width="8.85546875" style="3"/>
    <col min="10241" max="10241" width="11.7109375" style="3" customWidth="1"/>
    <col min="10242" max="10243" width="11.28515625" style="3" customWidth="1"/>
    <col min="10244" max="10244" width="8.140625" style="3" bestFit="1" customWidth="1"/>
    <col min="10245" max="10496" width="8.85546875" style="3"/>
    <col min="10497" max="10497" width="11.7109375" style="3" customWidth="1"/>
    <col min="10498" max="10499" width="11.28515625" style="3" customWidth="1"/>
    <col min="10500" max="10500" width="8.140625" style="3" bestFit="1" customWidth="1"/>
    <col min="10501" max="10752" width="8.85546875" style="3"/>
    <col min="10753" max="10753" width="11.7109375" style="3" customWidth="1"/>
    <col min="10754" max="10755" width="11.28515625" style="3" customWidth="1"/>
    <col min="10756" max="10756" width="8.140625" style="3" bestFit="1" customWidth="1"/>
    <col min="10757" max="11008" width="8.85546875" style="3"/>
    <col min="11009" max="11009" width="11.7109375" style="3" customWidth="1"/>
    <col min="11010" max="11011" width="11.28515625" style="3" customWidth="1"/>
    <col min="11012" max="11012" width="8.140625" style="3" bestFit="1" customWidth="1"/>
    <col min="11013" max="11264" width="8.85546875" style="3"/>
    <col min="11265" max="11265" width="11.7109375" style="3" customWidth="1"/>
    <col min="11266" max="11267" width="11.28515625" style="3" customWidth="1"/>
    <col min="11268" max="11268" width="8.140625" style="3" bestFit="1" customWidth="1"/>
    <col min="11269" max="11520" width="8.85546875" style="3"/>
    <col min="11521" max="11521" width="11.7109375" style="3" customWidth="1"/>
    <col min="11522" max="11523" width="11.28515625" style="3" customWidth="1"/>
    <col min="11524" max="11524" width="8.140625" style="3" bestFit="1" customWidth="1"/>
    <col min="11525" max="11776" width="8.85546875" style="3"/>
    <col min="11777" max="11777" width="11.7109375" style="3" customWidth="1"/>
    <col min="11778" max="11779" width="11.28515625" style="3" customWidth="1"/>
    <col min="11780" max="11780" width="8.140625" style="3" bestFit="1" customWidth="1"/>
    <col min="11781" max="12032" width="8.85546875" style="3"/>
    <col min="12033" max="12033" width="11.7109375" style="3" customWidth="1"/>
    <col min="12034" max="12035" width="11.28515625" style="3" customWidth="1"/>
    <col min="12036" max="12036" width="8.140625" style="3" bestFit="1" customWidth="1"/>
    <col min="12037" max="12288" width="8.85546875" style="3"/>
    <col min="12289" max="12289" width="11.7109375" style="3" customWidth="1"/>
    <col min="12290" max="12291" width="11.28515625" style="3" customWidth="1"/>
    <col min="12292" max="12292" width="8.140625" style="3" bestFit="1" customWidth="1"/>
    <col min="12293" max="12544" width="8.85546875" style="3"/>
    <col min="12545" max="12545" width="11.7109375" style="3" customWidth="1"/>
    <col min="12546" max="12547" width="11.28515625" style="3" customWidth="1"/>
    <col min="12548" max="12548" width="8.140625" style="3" bestFit="1" customWidth="1"/>
    <col min="12549" max="12800" width="8.85546875" style="3"/>
    <col min="12801" max="12801" width="11.7109375" style="3" customWidth="1"/>
    <col min="12802" max="12803" width="11.28515625" style="3" customWidth="1"/>
    <col min="12804" max="12804" width="8.140625" style="3" bestFit="1" customWidth="1"/>
    <col min="12805" max="13056" width="8.85546875" style="3"/>
    <col min="13057" max="13057" width="11.7109375" style="3" customWidth="1"/>
    <col min="13058" max="13059" width="11.28515625" style="3" customWidth="1"/>
    <col min="13060" max="13060" width="8.140625" style="3" bestFit="1" customWidth="1"/>
    <col min="13061" max="13312" width="8.85546875" style="3"/>
    <col min="13313" max="13313" width="11.7109375" style="3" customWidth="1"/>
    <col min="13314" max="13315" width="11.28515625" style="3" customWidth="1"/>
    <col min="13316" max="13316" width="8.140625" style="3" bestFit="1" customWidth="1"/>
    <col min="13317" max="13568" width="8.85546875" style="3"/>
    <col min="13569" max="13569" width="11.7109375" style="3" customWidth="1"/>
    <col min="13570" max="13571" width="11.28515625" style="3" customWidth="1"/>
    <col min="13572" max="13572" width="8.140625" style="3" bestFit="1" customWidth="1"/>
    <col min="13573" max="13824" width="8.85546875" style="3"/>
    <col min="13825" max="13825" width="11.7109375" style="3" customWidth="1"/>
    <col min="13826" max="13827" width="11.28515625" style="3" customWidth="1"/>
    <col min="13828" max="13828" width="8.140625" style="3" bestFit="1" customWidth="1"/>
    <col min="13829" max="14080" width="8.85546875" style="3"/>
    <col min="14081" max="14081" width="11.7109375" style="3" customWidth="1"/>
    <col min="14082" max="14083" width="11.28515625" style="3" customWidth="1"/>
    <col min="14084" max="14084" width="8.140625" style="3" bestFit="1" customWidth="1"/>
    <col min="14085" max="14336" width="8.85546875" style="3"/>
    <col min="14337" max="14337" width="11.7109375" style="3" customWidth="1"/>
    <col min="14338" max="14339" width="11.28515625" style="3" customWidth="1"/>
    <col min="14340" max="14340" width="8.140625" style="3" bestFit="1" customWidth="1"/>
    <col min="14341" max="14592" width="8.85546875" style="3"/>
    <col min="14593" max="14593" width="11.7109375" style="3" customWidth="1"/>
    <col min="14594" max="14595" width="11.28515625" style="3" customWidth="1"/>
    <col min="14596" max="14596" width="8.140625" style="3" bestFit="1" customWidth="1"/>
    <col min="14597" max="14848" width="8.85546875" style="3"/>
    <col min="14849" max="14849" width="11.7109375" style="3" customWidth="1"/>
    <col min="14850" max="14851" width="11.28515625" style="3" customWidth="1"/>
    <col min="14852" max="14852" width="8.140625" style="3" bestFit="1" customWidth="1"/>
    <col min="14853" max="15104" width="8.85546875" style="3"/>
    <col min="15105" max="15105" width="11.7109375" style="3" customWidth="1"/>
    <col min="15106" max="15107" width="11.28515625" style="3" customWidth="1"/>
    <col min="15108" max="15108" width="8.140625" style="3" bestFit="1" customWidth="1"/>
    <col min="15109" max="15360" width="8.85546875" style="3"/>
    <col min="15361" max="15361" width="11.7109375" style="3" customWidth="1"/>
    <col min="15362" max="15363" width="11.28515625" style="3" customWidth="1"/>
    <col min="15364" max="15364" width="8.140625" style="3" bestFit="1" customWidth="1"/>
    <col min="15365" max="15616" width="8.85546875" style="3"/>
    <col min="15617" max="15617" width="11.7109375" style="3" customWidth="1"/>
    <col min="15618" max="15619" width="11.28515625" style="3" customWidth="1"/>
    <col min="15620" max="15620" width="8.140625" style="3" bestFit="1" customWidth="1"/>
    <col min="15621" max="15872" width="8.85546875" style="3"/>
    <col min="15873" max="15873" width="11.7109375" style="3" customWidth="1"/>
    <col min="15874" max="15875" width="11.28515625" style="3" customWidth="1"/>
    <col min="15876" max="15876" width="8.140625" style="3" bestFit="1" customWidth="1"/>
    <col min="15877" max="16128" width="8.85546875" style="3"/>
    <col min="16129" max="16129" width="11.7109375" style="3" customWidth="1"/>
    <col min="16130" max="16131" width="11.28515625" style="3" customWidth="1"/>
    <col min="16132" max="16132" width="8.140625" style="3" bestFit="1" customWidth="1"/>
    <col min="16133" max="16384" width="8.85546875" style="3"/>
  </cols>
  <sheetData>
    <row r="1" spans="1:9" x14ac:dyDescent="0.2">
      <c r="A1" s="3" t="s">
        <v>8</v>
      </c>
      <c r="D1" s="6">
        <v>102</v>
      </c>
      <c r="E1" s="3" t="s">
        <v>9</v>
      </c>
    </row>
    <row r="2" spans="1:9" ht="13.5" thickBot="1" x14ac:dyDescent="0.25">
      <c r="A2" s="5" t="s">
        <v>10</v>
      </c>
      <c r="B2" s="5" t="s">
        <v>11</v>
      </c>
      <c r="C2" s="5" t="s">
        <v>12</v>
      </c>
      <c r="D2" s="13" t="s">
        <v>13</v>
      </c>
      <c r="E2" s="5" t="s">
        <v>6</v>
      </c>
      <c r="F2" s="5" t="s">
        <v>14</v>
      </c>
      <c r="G2" s="55" t="s">
        <v>15</v>
      </c>
      <c r="H2" s="55" t="s">
        <v>2</v>
      </c>
      <c r="I2" s="3">
        <f>COUNTA(A3:A300)</f>
        <v>46</v>
      </c>
    </row>
    <row r="3" spans="1:9" ht="13.5" thickTop="1" x14ac:dyDescent="0.2">
      <c r="A3" s="14">
        <v>42036</v>
      </c>
      <c r="B3" s="56">
        <v>0.31666666666666665</v>
      </c>
      <c r="C3" s="56">
        <v>0.375</v>
      </c>
      <c r="D3" s="16">
        <v>84</v>
      </c>
      <c r="E3" s="15" t="s">
        <v>16</v>
      </c>
      <c r="F3" s="15" t="s">
        <v>17</v>
      </c>
      <c r="G3" s="15">
        <v>1</v>
      </c>
      <c r="H3" s="15">
        <f>G3*D3</f>
        <v>84</v>
      </c>
    </row>
    <row r="4" spans="1:9" x14ac:dyDescent="0.2">
      <c r="A4" s="11">
        <v>42036</v>
      </c>
      <c r="B4" s="12">
        <v>0.83333333333333337</v>
      </c>
      <c r="C4" s="12">
        <v>0.87986111111111109</v>
      </c>
      <c r="D4" s="13">
        <v>67</v>
      </c>
      <c r="E4" s="5" t="s">
        <v>16</v>
      </c>
      <c r="F4" s="5" t="s">
        <v>18</v>
      </c>
      <c r="G4" s="5">
        <v>1</v>
      </c>
      <c r="H4" s="5">
        <f>G4*D4</f>
        <v>67</v>
      </c>
    </row>
    <row r="5" spans="1:9" x14ac:dyDescent="0.2">
      <c r="A5" s="11">
        <v>42037</v>
      </c>
      <c r="B5" s="12">
        <v>0.35138888888888892</v>
      </c>
      <c r="C5" s="12">
        <v>0.375</v>
      </c>
      <c r="D5" s="13">
        <v>34</v>
      </c>
      <c r="E5" s="5" t="s">
        <v>16</v>
      </c>
      <c r="F5" s="5" t="s">
        <v>17</v>
      </c>
      <c r="G5" s="5">
        <v>1</v>
      </c>
      <c r="H5" s="5">
        <f>G5*D5</f>
        <v>34</v>
      </c>
    </row>
    <row r="6" spans="1:9" x14ac:dyDescent="0.2">
      <c r="A6" s="11">
        <v>42037</v>
      </c>
      <c r="B6" s="12">
        <v>0.83333333333333337</v>
      </c>
      <c r="C6" s="12">
        <v>0.88194444444444453</v>
      </c>
      <c r="D6" s="13">
        <v>70</v>
      </c>
      <c r="E6" s="5" t="s">
        <v>16</v>
      </c>
      <c r="F6" s="5" t="s">
        <v>18</v>
      </c>
      <c r="G6" s="5">
        <v>1</v>
      </c>
      <c r="H6" s="5">
        <f>G6*D6</f>
        <v>70</v>
      </c>
    </row>
    <row r="7" spans="1:9" x14ac:dyDescent="0.2">
      <c r="A7" s="11">
        <v>42038</v>
      </c>
      <c r="B7" s="12">
        <v>0.3527777777777778</v>
      </c>
      <c r="C7" s="12">
        <v>0.375</v>
      </c>
      <c r="D7" s="13">
        <v>32</v>
      </c>
      <c r="E7" s="5" t="s">
        <v>16</v>
      </c>
      <c r="F7" s="5" t="s">
        <v>17</v>
      </c>
      <c r="G7" s="5">
        <v>1</v>
      </c>
      <c r="H7" s="5">
        <f>G7*D7</f>
        <v>32</v>
      </c>
    </row>
    <row r="8" spans="1:9" x14ac:dyDescent="0.2">
      <c r="A8" s="11">
        <v>42038</v>
      </c>
      <c r="B8" s="12">
        <v>0.83333333333333337</v>
      </c>
      <c r="C8" s="12">
        <v>0.88402777777777775</v>
      </c>
      <c r="D8" s="13">
        <v>73</v>
      </c>
      <c r="E8" s="5" t="s">
        <v>16</v>
      </c>
      <c r="F8" s="5" t="s">
        <v>18</v>
      </c>
      <c r="G8" s="5">
        <v>1</v>
      </c>
      <c r="H8" s="5">
        <f>G8*D8</f>
        <v>73</v>
      </c>
    </row>
    <row r="9" spans="1:9" x14ac:dyDescent="0.2">
      <c r="A9" s="11">
        <v>42039</v>
      </c>
      <c r="B9" s="12">
        <v>0.3520833333333333</v>
      </c>
      <c r="C9" s="12">
        <v>0.375</v>
      </c>
      <c r="D9" s="13">
        <v>33</v>
      </c>
      <c r="E9" s="5" t="s">
        <v>16</v>
      </c>
      <c r="F9" s="5" t="s">
        <v>17</v>
      </c>
      <c r="G9" s="5">
        <v>1</v>
      </c>
      <c r="H9" s="5">
        <f>G9*D9</f>
        <v>33</v>
      </c>
    </row>
    <row r="10" spans="1:9" x14ac:dyDescent="0.2">
      <c r="A10" s="11">
        <v>42039</v>
      </c>
      <c r="B10" s="12">
        <v>0.83333333333333337</v>
      </c>
      <c r="C10" s="12">
        <v>0.89444444444444438</v>
      </c>
      <c r="D10" s="13">
        <v>88</v>
      </c>
      <c r="E10" s="5" t="s">
        <v>16</v>
      </c>
      <c r="F10" s="5" t="s">
        <v>18</v>
      </c>
      <c r="G10" s="5">
        <v>1</v>
      </c>
      <c r="H10" s="5">
        <f>G10*D10</f>
        <v>88</v>
      </c>
    </row>
    <row r="11" spans="1:9" x14ac:dyDescent="0.2">
      <c r="A11" s="11">
        <v>42040</v>
      </c>
      <c r="B11" s="12">
        <v>0.33611111111111108</v>
      </c>
      <c r="C11" s="12">
        <v>0.375</v>
      </c>
      <c r="D11" s="13">
        <v>56</v>
      </c>
      <c r="E11" s="5" t="s">
        <v>16</v>
      </c>
      <c r="F11" s="5" t="s">
        <v>17</v>
      </c>
      <c r="G11" s="5">
        <v>1</v>
      </c>
      <c r="H11" s="5">
        <f>G11*D11</f>
        <v>56</v>
      </c>
    </row>
    <row r="12" spans="1:9" x14ac:dyDescent="0.2">
      <c r="A12" s="11">
        <v>42040</v>
      </c>
      <c r="B12" s="12">
        <v>0.83333333333333337</v>
      </c>
      <c r="C12" s="12">
        <v>0.88402777777777775</v>
      </c>
      <c r="D12" s="13">
        <v>73</v>
      </c>
      <c r="E12" s="5" t="s">
        <v>16</v>
      </c>
      <c r="F12" s="5" t="s">
        <v>18</v>
      </c>
      <c r="G12" s="5">
        <v>1</v>
      </c>
      <c r="H12" s="5">
        <f>G12*D12</f>
        <v>73</v>
      </c>
    </row>
    <row r="13" spans="1:9" x14ac:dyDescent="0.2">
      <c r="A13" s="11">
        <v>42041</v>
      </c>
      <c r="B13" s="12">
        <v>0.33958333333333335</v>
      </c>
      <c r="C13" s="12">
        <v>0.375</v>
      </c>
      <c r="D13" s="13">
        <v>51</v>
      </c>
      <c r="E13" s="5" t="s">
        <v>16</v>
      </c>
      <c r="F13" s="5" t="s">
        <v>17</v>
      </c>
      <c r="G13" s="5">
        <v>1</v>
      </c>
      <c r="H13" s="5">
        <f>G13*D13</f>
        <v>51</v>
      </c>
    </row>
    <row r="14" spans="1:9" x14ac:dyDescent="0.2">
      <c r="A14" s="11">
        <v>42041</v>
      </c>
      <c r="B14" s="12">
        <v>0.83333333333333337</v>
      </c>
      <c r="C14" s="12">
        <v>0.91388888888888886</v>
      </c>
      <c r="D14" s="13">
        <v>116</v>
      </c>
      <c r="E14" s="5" t="s">
        <v>16</v>
      </c>
      <c r="F14" s="5" t="s">
        <v>18</v>
      </c>
      <c r="G14" s="5">
        <v>1</v>
      </c>
      <c r="H14" s="5">
        <f>G14*D14</f>
        <v>116</v>
      </c>
    </row>
    <row r="15" spans="1:9" x14ac:dyDescent="0.2">
      <c r="A15" s="11">
        <v>42042</v>
      </c>
      <c r="B15" s="12">
        <v>0.3263888888888889</v>
      </c>
      <c r="C15" s="12">
        <v>0.375</v>
      </c>
      <c r="D15" s="13">
        <v>70</v>
      </c>
      <c r="E15" s="5" t="s">
        <v>16</v>
      </c>
      <c r="F15" s="5" t="s">
        <v>17</v>
      </c>
      <c r="G15" s="5">
        <v>1</v>
      </c>
      <c r="H15" s="5">
        <f>G15*D15</f>
        <v>70</v>
      </c>
    </row>
    <row r="16" spans="1:9" x14ac:dyDescent="0.2">
      <c r="A16" s="11">
        <v>42042</v>
      </c>
      <c r="B16" s="12">
        <v>0.83333333333333337</v>
      </c>
      <c r="C16" s="12">
        <v>0.94374999999999998</v>
      </c>
      <c r="D16" s="13">
        <v>159</v>
      </c>
      <c r="E16" s="5" t="s">
        <v>16</v>
      </c>
      <c r="F16" s="5" t="s">
        <v>18</v>
      </c>
      <c r="G16" s="5">
        <v>1</v>
      </c>
      <c r="H16" s="5">
        <f>G16*D16</f>
        <v>159</v>
      </c>
    </row>
    <row r="17" spans="1:8" x14ac:dyDescent="0.2">
      <c r="A17" s="11">
        <v>42043</v>
      </c>
      <c r="B17" s="12">
        <v>0.3430555555555555</v>
      </c>
      <c r="C17" s="12">
        <v>0.375</v>
      </c>
      <c r="D17" s="13">
        <v>46</v>
      </c>
      <c r="E17" s="5" t="s">
        <v>16</v>
      </c>
      <c r="F17" s="5" t="s">
        <v>17</v>
      </c>
      <c r="G17" s="5">
        <v>1</v>
      </c>
      <c r="H17" s="5">
        <f>G17*D17</f>
        <v>46</v>
      </c>
    </row>
    <row r="18" spans="1:8" x14ac:dyDescent="0.2">
      <c r="A18" s="11">
        <v>42043</v>
      </c>
      <c r="B18" s="12">
        <v>0.83333333333333337</v>
      </c>
      <c r="C18" s="12">
        <v>0.8618055555555556</v>
      </c>
      <c r="D18" s="13">
        <v>41</v>
      </c>
      <c r="E18" s="5" t="s">
        <v>16</v>
      </c>
      <c r="F18" s="5" t="s">
        <v>18</v>
      </c>
      <c r="G18" s="5">
        <v>1</v>
      </c>
      <c r="H18" s="5">
        <f>G18*D18</f>
        <v>41</v>
      </c>
    </row>
    <row r="19" spans="1:8" x14ac:dyDescent="0.2">
      <c r="A19" s="11">
        <v>42044</v>
      </c>
      <c r="B19" s="12">
        <v>0.33333333333333331</v>
      </c>
      <c r="C19" s="12">
        <v>0.375</v>
      </c>
      <c r="D19" s="13">
        <v>60</v>
      </c>
      <c r="E19" s="5" t="s">
        <v>16</v>
      </c>
      <c r="F19" s="5" t="s">
        <v>17</v>
      </c>
      <c r="G19" s="5">
        <v>1</v>
      </c>
      <c r="H19" s="5">
        <f>G19*D19</f>
        <v>60</v>
      </c>
    </row>
    <row r="20" spans="1:8" x14ac:dyDescent="0.2">
      <c r="A20" s="11">
        <v>42044</v>
      </c>
      <c r="B20" s="12">
        <v>0.83333333333333337</v>
      </c>
      <c r="C20" s="12">
        <v>0.89236111111111116</v>
      </c>
      <c r="D20" s="13">
        <v>85</v>
      </c>
      <c r="E20" s="5" t="s">
        <v>16</v>
      </c>
      <c r="F20" s="5" t="s">
        <v>18</v>
      </c>
      <c r="G20" s="5">
        <v>1</v>
      </c>
      <c r="H20" s="5">
        <f>G20*D20</f>
        <v>85</v>
      </c>
    </row>
    <row r="21" spans="1:8" x14ac:dyDescent="0.2">
      <c r="A21" s="11">
        <v>42045</v>
      </c>
      <c r="B21" s="12">
        <v>0.33680555555555558</v>
      </c>
      <c r="C21" s="12">
        <v>0.375</v>
      </c>
      <c r="D21" s="13">
        <v>55</v>
      </c>
      <c r="E21" s="5" t="s">
        <v>16</v>
      </c>
      <c r="F21" s="5" t="s">
        <v>17</v>
      </c>
      <c r="G21" s="5">
        <v>1</v>
      </c>
      <c r="H21" s="5">
        <f>G21*D21</f>
        <v>55</v>
      </c>
    </row>
    <row r="22" spans="1:8" x14ac:dyDescent="0.2">
      <c r="A22" s="11">
        <v>42045</v>
      </c>
      <c r="B22" s="12">
        <v>0.83333333333333337</v>
      </c>
      <c r="C22" s="12">
        <v>0.92847222222222225</v>
      </c>
      <c r="D22" s="13">
        <v>137</v>
      </c>
      <c r="E22" s="5" t="s">
        <v>16</v>
      </c>
      <c r="F22" s="5" t="s">
        <v>18</v>
      </c>
      <c r="G22" s="5">
        <v>1</v>
      </c>
      <c r="H22" s="5">
        <f>G22*D22</f>
        <v>137</v>
      </c>
    </row>
    <row r="23" spans="1:8" x14ac:dyDescent="0.2">
      <c r="A23" s="11">
        <v>42046</v>
      </c>
      <c r="B23" s="12">
        <v>0.33263888888888887</v>
      </c>
      <c r="C23" s="12">
        <v>0.375</v>
      </c>
      <c r="D23" s="13">
        <v>61</v>
      </c>
      <c r="E23" s="5" t="s">
        <v>16</v>
      </c>
      <c r="F23" s="5" t="s">
        <v>17</v>
      </c>
      <c r="G23" s="5">
        <v>1</v>
      </c>
      <c r="H23" s="5">
        <f>G23*D23</f>
        <v>61</v>
      </c>
    </row>
    <row r="24" spans="1:8" x14ac:dyDescent="0.2">
      <c r="A24" s="11">
        <v>42046</v>
      </c>
      <c r="B24" s="12">
        <v>0.83333333333333337</v>
      </c>
      <c r="C24" s="12">
        <v>4.1666666666666664E-2</v>
      </c>
      <c r="D24" s="13">
        <v>300</v>
      </c>
      <c r="E24" s="5" t="s">
        <v>16</v>
      </c>
      <c r="F24" s="5" t="s">
        <v>18</v>
      </c>
      <c r="G24" s="5">
        <v>1</v>
      </c>
      <c r="H24" s="5">
        <f>G24*D24</f>
        <v>300</v>
      </c>
    </row>
    <row r="25" spans="1:8" x14ac:dyDescent="0.2">
      <c r="A25" s="11">
        <v>42047</v>
      </c>
      <c r="B25" s="12">
        <v>0.34027777777777773</v>
      </c>
      <c r="C25" s="12">
        <v>0.375</v>
      </c>
      <c r="D25" s="13">
        <v>50</v>
      </c>
      <c r="E25" s="5" t="s">
        <v>16</v>
      </c>
      <c r="F25" s="5" t="s">
        <v>17</v>
      </c>
      <c r="G25" s="5">
        <v>1</v>
      </c>
      <c r="H25" s="5">
        <f>G25*D25</f>
        <v>50</v>
      </c>
    </row>
    <row r="26" spans="1:8" x14ac:dyDescent="0.2">
      <c r="A26" s="11">
        <v>42047</v>
      </c>
      <c r="B26" s="12">
        <v>0.83333333333333337</v>
      </c>
      <c r="C26" s="12">
        <v>9.5138888888888884E-2</v>
      </c>
      <c r="D26" s="13">
        <v>377</v>
      </c>
      <c r="E26" s="5" t="s">
        <v>16</v>
      </c>
      <c r="F26" s="5" t="s">
        <v>18</v>
      </c>
      <c r="G26" s="5">
        <v>1</v>
      </c>
      <c r="H26" s="5">
        <f>G26*D26</f>
        <v>377</v>
      </c>
    </row>
    <row r="27" spans="1:8" x14ac:dyDescent="0.2">
      <c r="A27" s="11">
        <v>42048</v>
      </c>
      <c r="B27" s="12">
        <v>0.3354166666666667</v>
      </c>
      <c r="C27" s="12">
        <v>0.375</v>
      </c>
      <c r="D27" s="13">
        <v>57</v>
      </c>
      <c r="E27" s="5" t="s">
        <v>16</v>
      </c>
      <c r="F27" s="5" t="s">
        <v>17</v>
      </c>
      <c r="G27" s="5">
        <v>1</v>
      </c>
      <c r="H27" s="5">
        <f>G27*D27</f>
        <v>57</v>
      </c>
    </row>
    <row r="28" spans="1:8" x14ac:dyDescent="0.2">
      <c r="A28" s="11">
        <v>42048</v>
      </c>
      <c r="B28" s="12">
        <v>0.83333333333333337</v>
      </c>
      <c r="C28" s="12">
        <v>0.24097222222222223</v>
      </c>
      <c r="D28" s="13">
        <v>587</v>
      </c>
      <c r="E28" s="5" t="s">
        <v>16</v>
      </c>
      <c r="F28" s="5" t="s">
        <v>18</v>
      </c>
      <c r="G28" s="5">
        <v>1</v>
      </c>
      <c r="H28" s="5">
        <f>G28*D28</f>
        <v>587</v>
      </c>
    </row>
    <row r="29" spans="1:8" x14ac:dyDescent="0.2">
      <c r="A29" s="11">
        <v>42049</v>
      </c>
      <c r="B29" s="12">
        <v>0.33888888888888885</v>
      </c>
      <c r="C29" s="12">
        <v>0.375</v>
      </c>
      <c r="D29" s="13">
        <v>52</v>
      </c>
      <c r="E29" s="5" t="s">
        <v>16</v>
      </c>
      <c r="F29" s="5" t="s">
        <v>17</v>
      </c>
      <c r="G29" s="5">
        <v>1</v>
      </c>
      <c r="H29" s="5">
        <f>G29*D29</f>
        <v>52</v>
      </c>
    </row>
    <row r="30" spans="1:8" x14ac:dyDescent="0.2">
      <c r="A30" s="11">
        <v>42049</v>
      </c>
      <c r="B30" s="12">
        <v>0.83333333333333337</v>
      </c>
      <c r="C30" s="12">
        <v>0.92986111111111114</v>
      </c>
      <c r="D30" s="13">
        <v>139</v>
      </c>
      <c r="E30" s="5" t="s">
        <v>16</v>
      </c>
      <c r="F30" s="5" t="s">
        <v>18</v>
      </c>
      <c r="G30" s="5">
        <v>1</v>
      </c>
      <c r="H30" s="5">
        <f>G30*D30</f>
        <v>139</v>
      </c>
    </row>
    <row r="31" spans="1:8" x14ac:dyDescent="0.2">
      <c r="A31" s="11">
        <v>42050</v>
      </c>
      <c r="B31" s="12">
        <v>0.37152777777777773</v>
      </c>
      <c r="C31" s="12">
        <v>0.375</v>
      </c>
      <c r="D31" s="13">
        <v>5</v>
      </c>
      <c r="E31" s="5" t="s">
        <v>86</v>
      </c>
      <c r="F31" s="5" t="s">
        <v>17</v>
      </c>
      <c r="G31" s="5">
        <v>0</v>
      </c>
      <c r="H31" s="5">
        <f>G31*D31</f>
        <v>0</v>
      </c>
    </row>
    <row r="32" spans="1:8" x14ac:dyDescent="0.2">
      <c r="A32" s="11">
        <v>42050</v>
      </c>
      <c r="B32" s="12">
        <v>0.83333333333333337</v>
      </c>
      <c r="C32" s="12">
        <v>4.8611111111111112E-2</v>
      </c>
      <c r="D32" s="13">
        <v>310</v>
      </c>
      <c r="E32" s="5" t="s">
        <v>16</v>
      </c>
      <c r="F32" s="5" t="s">
        <v>18</v>
      </c>
      <c r="G32" s="5">
        <v>1</v>
      </c>
      <c r="H32" s="5">
        <f>G32*D32</f>
        <v>310</v>
      </c>
    </row>
    <row r="33" spans="1:8" x14ac:dyDescent="0.2">
      <c r="A33" s="11">
        <v>42051</v>
      </c>
      <c r="B33" s="12">
        <v>0.32777777777777778</v>
      </c>
      <c r="C33" s="12">
        <v>0.375</v>
      </c>
      <c r="D33" s="13">
        <v>68</v>
      </c>
      <c r="E33" s="5" t="s">
        <v>16</v>
      </c>
      <c r="F33" s="5" t="s">
        <v>17</v>
      </c>
      <c r="G33" s="5">
        <v>1</v>
      </c>
      <c r="H33" s="5">
        <f>G33*D33</f>
        <v>68</v>
      </c>
    </row>
    <row r="34" spans="1:8" x14ac:dyDescent="0.2">
      <c r="A34" s="11">
        <v>42051</v>
      </c>
      <c r="B34" s="12">
        <v>0.83333333333333337</v>
      </c>
      <c r="C34" s="12">
        <v>0.11805555555555557</v>
      </c>
      <c r="D34" s="13">
        <v>410</v>
      </c>
      <c r="E34" s="5" t="s">
        <v>16</v>
      </c>
      <c r="F34" s="5" t="s">
        <v>18</v>
      </c>
      <c r="G34" s="5">
        <v>1</v>
      </c>
      <c r="H34" s="5">
        <f>G34*D34</f>
        <v>410</v>
      </c>
    </row>
    <row r="35" spans="1:8" x14ac:dyDescent="0.2">
      <c r="A35" s="11">
        <v>42052</v>
      </c>
      <c r="B35" s="12">
        <v>0.3354166666666667</v>
      </c>
      <c r="C35" s="12">
        <v>0.375</v>
      </c>
      <c r="D35" s="13">
        <v>57</v>
      </c>
      <c r="E35" s="5" t="s">
        <v>16</v>
      </c>
      <c r="F35" s="5" t="s">
        <v>17</v>
      </c>
      <c r="G35" s="5">
        <v>1</v>
      </c>
      <c r="H35" s="5">
        <f>G35*D35</f>
        <v>57</v>
      </c>
    </row>
    <row r="36" spans="1:8" x14ac:dyDescent="0.2">
      <c r="A36" s="11">
        <v>42052</v>
      </c>
      <c r="B36" s="12">
        <v>0.83333333333333337</v>
      </c>
      <c r="C36" s="12">
        <v>0.12361111111111112</v>
      </c>
      <c r="D36" s="13">
        <v>418</v>
      </c>
      <c r="E36" s="5" t="s">
        <v>16</v>
      </c>
      <c r="F36" s="5" t="s">
        <v>18</v>
      </c>
      <c r="G36" s="5">
        <v>1</v>
      </c>
      <c r="H36" s="5">
        <f>G36*D36</f>
        <v>418</v>
      </c>
    </row>
    <row r="37" spans="1:8" x14ac:dyDescent="0.2">
      <c r="A37" s="11">
        <v>42053</v>
      </c>
      <c r="B37" s="12">
        <v>0.33749999999999997</v>
      </c>
      <c r="C37" s="12">
        <v>0.375</v>
      </c>
      <c r="D37" s="13">
        <v>54</v>
      </c>
      <c r="E37" s="5" t="s">
        <v>16</v>
      </c>
      <c r="F37" s="5" t="s">
        <v>17</v>
      </c>
      <c r="G37" s="5">
        <v>1</v>
      </c>
      <c r="H37" s="5">
        <f>G37*D37</f>
        <v>54</v>
      </c>
    </row>
    <row r="38" spans="1:8" x14ac:dyDescent="0.2">
      <c r="A38" s="11">
        <v>42053</v>
      </c>
      <c r="B38" s="12">
        <v>0.83333333333333337</v>
      </c>
      <c r="C38" s="12">
        <v>2.013888888888889E-2</v>
      </c>
      <c r="D38" s="13">
        <v>269</v>
      </c>
      <c r="E38" s="5" t="s">
        <v>16</v>
      </c>
      <c r="F38" s="5" t="s">
        <v>18</v>
      </c>
      <c r="G38" s="5">
        <v>1</v>
      </c>
      <c r="H38" s="5">
        <f>G38*D38</f>
        <v>269</v>
      </c>
    </row>
    <row r="39" spans="1:8" x14ac:dyDescent="0.2">
      <c r="A39" s="11">
        <v>42058</v>
      </c>
      <c r="B39" s="12">
        <v>0.30763888888888891</v>
      </c>
      <c r="C39" s="12">
        <v>0.375</v>
      </c>
      <c r="D39" s="13">
        <v>97</v>
      </c>
      <c r="E39" s="5" t="s">
        <v>16</v>
      </c>
      <c r="F39" s="5" t="s">
        <v>17</v>
      </c>
      <c r="G39" s="5">
        <v>1</v>
      </c>
      <c r="H39" s="5">
        <f>G39*D39</f>
        <v>97</v>
      </c>
    </row>
    <row r="40" spans="1:8" x14ac:dyDescent="0.2">
      <c r="A40" s="11">
        <v>42059</v>
      </c>
      <c r="B40" s="12">
        <v>0.34930555555555554</v>
      </c>
      <c r="C40" s="12">
        <v>0.375</v>
      </c>
      <c r="D40" s="13">
        <v>37</v>
      </c>
      <c r="E40" s="5" t="s">
        <v>16</v>
      </c>
      <c r="F40" s="5" t="s">
        <v>17</v>
      </c>
      <c r="G40" s="5">
        <v>1</v>
      </c>
      <c r="H40" s="5">
        <f>G40*D40</f>
        <v>37</v>
      </c>
    </row>
    <row r="41" spans="1:8" x14ac:dyDescent="0.2">
      <c r="A41" s="11">
        <v>42060</v>
      </c>
      <c r="B41" s="12">
        <v>0.35347222222222219</v>
      </c>
      <c r="C41" s="12">
        <v>0.375</v>
      </c>
      <c r="D41" s="13">
        <v>31</v>
      </c>
      <c r="E41" s="5" t="s">
        <v>16</v>
      </c>
      <c r="F41" s="5" t="s">
        <v>17</v>
      </c>
      <c r="G41" s="5">
        <v>1</v>
      </c>
      <c r="H41" s="5">
        <f>G41*D41</f>
        <v>31</v>
      </c>
    </row>
    <row r="42" spans="1:8" x14ac:dyDescent="0.2">
      <c r="A42" s="11">
        <v>42060</v>
      </c>
      <c r="B42" s="12">
        <v>0.83333333333333337</v>
      </c>
      <c r="C42" s="12">
        <v>0.89444444444444438</v>
      </c>
      <c r="D42" s="13">
        <v>88</v>
      </c>
      <c r="E42" s="5" t="s">
        <v>16</v>
      </c>
      <c r="F42" s="5" t="s">
        <v>18</v>
      </c>
      <c r="G42" s="5">
        <v>1</v>
      </c>
      <c r="H42" s="5">
        <f>G42*D42</f>
        <v>88</v>
      </c>
    </row>
    <row r="43" spans="1:8" x14ac:dyDescent="0.2">
      <c r="A43" s="11">
        <v>42061</v>
      </c>
      <c r="B43" s="12">
        <v>0.35347222222222219</v>
      </c>
      <c r="C43" s="12">
        <v>0.375</v>
      </c>
      <c r="D43" s="13">
        <v>31</v>
      </c>
      <c r="E43" s="5" t="s">
        <v>16</v>
      </c>
      <c r="F43" s="5" t="s">
        <v>17</v>
      </c>
      <c r="G43" s="5">
        <v>1</v>
      </c>
      <c r="H43" s="5">
        <f>G43*D43</f>
        <v>31</v>
      </c>
    </row>
    <row r="44" spans="1:8" x14ac:dyDescent="0.2">
      <c r="A44" s="11">
        <v>42061</v>
      </c>
      <c r="B44" s="12">
        <v>0.83333333333333337</v>
      </c>
      <c r="C44" s="12">
        <v>0.88402777777777775</v>
      </c>
      <c r="D44" s="13">
        <v>73</v>
      </c>
      <c r="E44" s="5" t="s">
        <v>16</v>
      </c>
      <c r="F44" s="5" t="s">
        <v>18</v>
      </c>
      <c r="G44" s="5">
        <v>1</v>
      </c>
      <c r="H44" s="5">
        <f>G44*D44</f>
        <v>73</v>
      </c>
    </row>
    <row r="45" spans="1:8" x14ac:dyDescent="0.2">
      <c r="A45" s="11">
        <v>42062</v>
      </c>
      <c r="B45" s="12">
        <v>0.34930555555555554</v>
      </c>
      <c r="C45" s="12">
        <v>0.375</v>
      </c>
      <c r="D45" s="13">
        <v>37</v>
      </c>
      <c r="E45" s="5" t="s">
        <v>16</v>
      </c>
      <c r="F45" s="5" t="s">
        <v>17</v>
      </c>
      <c r="G45" s="5">
        <v>1</v>
      </c>
      <c r="H45" s="5">
        <f>G45*D45</f>
        <v>37</v>
      </c>
    </row>
    <row r="46" spans="1:8" x14ac:dyDescent="0.2">
      <c r="A46" s="11">
        <v>42062</v>
      </c>
      <c r="B46" s="12">
        <v>0.83333333333333337</v>
      </c>
      <c r="C46" s="12">
        <v>0.11875000000000001</v>
      </c>
      <c r="D46" s="13">
        <v>411</v>
      </c>
      <c r="E46" s="5" t="s">
        <v>16</v>
      </c>
      <c r="F46" s="5" t="s">
        <v>18</v>
      </c>
      <c r="G46" s="5">
        <v>1</v>
      </c>
      <c r="H46" s="5">
        <f>G46*D46</f>
        <v>411</v>
      </c>
    </row>
    <row r="47" spans="1:8" x14ac:dyDescent="0.2">
      <c r="A47" s="11">
        <v>42063</v>
      </c>
      <c r="B47" s="12">
        <v>0.33055555555555555</v>
      </c>
      <c r="C47" s="12">
        <v>0.375</v>
      </c>
      <c r="D47" s="13">
        <v>64</v>
      </c>
      <c r="E47" s="5" t="s">
        <v>16</v>
      </c>
      <c r="F47" s="5" t="s">
        <v>17</v>
      </c>
      <c r="G47" s="5">
        <v>1</v>
      </c>
      <c r="H47" s="5">
        <f>G47*D47</f>
        <v>64</v>
      </c>
    </row>
    <row r="48" spans="1:8" ht="13.5" thickBot="1" x14ac:dyDescent="0.25">
      <c r="A48" s="11">
        <v>42063</v>
      </c>
      <c r="B48" s="12">
        <v>0.83333333333333337</v>
      </c>
      <c r="C48" s="12">
        <v>0.85138888888888886</v>
      </c>
      <c r="D48" s="13">
        <v>26</v>
      </c>
      <c r="E48" s="5" t="s">
        <v>16</v>
      </c>
      <c r="F48" s="5" t="s">
        <v>18</v>
      </c>
      <c r="G48" s="5">
        <v>1</v>
      </c>
      <c r="H48" s="5">
        <f>G48*D48</f>
        <v>26</v>
      </c>
    </row>
    <row r="49" spans="1:8" ht="13.5" thickTop="1" x14ac:dyDescent="0.2">
      <c r="A49" s="14"/>
      <c r="B49" s="56"/>
      <c r="C49" s="56"/>
      <c r="D49" s="16">
        <f>SUM(D3:D48)</f>
        <v>5539</v>
      </c>
      <c r="E49" s="15"/>
      <c r="F49" s="15"/>
      <c r="G49" s="15"/>
      <c r="H49" s="15">
        <f>SUM(H3:H48)</f>
        <v>5534</v>
      </c>
    </row>
    <row r="50" spans="1:8" x14ac:dyDescent="0.2">
      <c r="A50" s="11"/>
      <c r="B50" s="12"/>
      <c r="C50" s="12"/>
      <c r="D50" s="13"/>
      <c r="E50" s="5"/>
      <c r="F50" s="5"/>
      <c r="G50" s="5"/>
      <c r="H50" s="5"/>
    </row>
    <row r="51" spans="1:8" x14ac:dyDescent="0.2">
      <c r="A51" s="11"/>
      <c r="B51" s="12"/>
      <c r="C51" s="12"/>
      <c r="D51" s="13"/>
      <c r="E51" s="5"/>
      <c r="F51" s="5"/>
      <c r="G51" s="5"/>
      <c r="H51" s="5"/>
    </row>
    <row r="52" spans="1:8" x14ac:dyDescent="0.2">
      <c r="A52" s="11"/>
      <c r="B52" s="12"/>
      <c r="C52" s="12"/>
      <c r="D52" s="13"/>
      <c r="E52" s="5"/>
      <c r="F52" s="5"/>
      <c r="G52" s="5"/>
      <c r="H52" s="5"/>
    </row>
    <row r="53" spans="1:8" x14ac:dyDescent="0.2">
      <c r="A53" s="11"/>
      <c r="B53" s="12"/>
      <c r="C53" s="12"/>
      <c r="D53" s="13"/>
      <c r="E53" s="5"/>
      <c r="F53" s="5"/>
      <c r="G53" s="5"/>
      <c r="H53" s="5"/>
    </row>
    <row r="54" spans="1:8" x14ac:dyDescent="0.2">
      <c r="A54" s="11"/>
      <c r="B54" s="12"/>
      <c r="C54" s="12"/>
      <c r="D54" s="13"/>
      <c r="E54" s="5"/>
      <c r="F54" s="5"/>
      <c r="G54" s="5"/>
      <c r="H54" s="5"/>
    </row>
    <row r="55" spans="1:8" x14ac:dyDescent="0.2">
      <c r="A55" s="11"/>
      <c r="B55" s="12"/>
      <c r="C55" s="12"/>
      <c r="D55" s="13"/>
      <c r="E55" s="5"/>
      <c r="F55" s="5"/>
      <c r="G55" s="5"/>
      <c r="H55" s="5"/>
    </row>
    <row r="56" spans="1:8" x14ac:dyDescent="0.2">
      <c r="A56" s="11"/>
      <c r="B56" s="12"/>
      <c r="C56" s="12"/>
      <c r="D56" s="13"/>
      <c r="E56" s="5"/>
      <c r="F56" s="5"/>
      <c r="G56" s="5"/>
      <c r="H56" s="5"/>
    </row>
    <row r="57" spans="1:8" x14ac:dyDescent="0.2">
      <c r="A57" s="11"/>
      <c r="B57" s="12"/>
      <c r="C57" s="12"/>
      <c r="D57" s="13"/>
      <c r="E57" s="5"/>
      <c r="F57" s="5"/>
      <c r="G57" s="5"/>
      <c r="H57" s="5"/>
    </row>
    <row r="58" spans="1:8" x14ac:dyDescent="0.2">
      <c r="A58" s="11"/>
      <c r="B58" s="12"/>
      <c r="C58" s="12"/>
      <c r="D58" s="13"/>
      <c r="E58" s="5"/>
      <c r="F58" s="5"/>
      <c r="G58" s="5"/>
      <c r="H58" s="5"/>
    </row>
    <row r="59" spans="1:8" x14ac:dyDescent="0.2">
      <c r="A59" s="11"/>
      <c r="B59" s="12"/>
      <c r="C59" s="12"/>
      <c r="D59" s="13"/>
      <c r="E59" s="5"/>
      <c r="F59" s="5"/>
      <c r="G59" s="5"/>
      <c r="H59" s="5"/>
    </row>
    <row r="60" spans="1:8" x14ac:dyDescent="0.2">
      <c r="A60" s="11"/>
      <c r="B60" s="12"/>
      <c r="C60" s="12"/>
      <c r="D60" s="13"/>
      <c r="E60" s="5"/>
      <c r="F60" s="5"/>
      <c r="G60" s="5"/>
      <c r="H60" s="5"/>
    </row>
    <row r="61" spans="1:8" x14ac:dyDescent="0.2">
      <c r="A61" s="11"/>
      <c r="B61" s="12"/>
      <c r="C61" s="12"/>
      <c r="D61" s="13"/>
      <c r="E61" s="5"/>
      <c r="F61" s="5"/>
      <c r="G61" s="5"/>
      <c r="H61" s="5"/>
    </row>
    <row r="62" spans="1:8" x14ac:dyDescent="0.2">
      <c r="A62" s="11"/>
      <c r="B62" s="5"/>
      <c r="C62" s="5"/>
      <c r="D62" s="13"/>
      <c r="E62" s="5"/>
      <c r="F62" s="5"/>
      <c r="G62" s="5"/>
      <c r="H62" s="5"/>
    </row>
    <row r="63" spans="1:8" x14ac:dyDescent="0.2">
      <c r="A63" s="11"/>
      <c r="B63" s="12"/>
      <c r="C63" s="12"/>
      <c r="D63" s="13"/>
      <c r="E63" s="5"/>
      <c r="F63" s="5"/>
      <c r="G63" s="5"/>
      <c r="H63" s="5"/>
    </row>
    <row r="64" spans="1:8" x14ac:dyDescent="0.2">
      <c r="A64" s="11"/>
      <c r="B64" s="12"/>
      <c r="C64" s="12"/>
      <c r="D64" s="13"/>
      <c r="E64" s="5"/>
      <c r="F64" s="5"/>
      <c r="G64" s="5"/>
      <c r="H64" s="5"/>
    </row>
    <row r="65" spans="1:8" x14ac:dyDescent="0.2">
      <c r="A65" s="11"/>
      <c r="B65" s="5"/>
      <c r="C65" s="5"/>
      <c r="D65" s="13"/>
      <c r="E65" s="5"/>
      <c r="F65" s="5"/>
      <c r="G65" s="5"/>
      <c r="H65" s="5"/>
    </row>
    <row r="66" spans="1:8" x14ac:dyDescent="0.2">
      <c r="A66" s="11"/>
      <c r="B66" s="12"/>
      <c r="C66" s="12"/>
      <c r="D66" s="13"/>
      <c r="E66" s="5"/>
      <c r="F66" s="5"/>
      <c r="G66" s="5"/>
      <c r="H66" s="5"/>
    </row>
    <row r="67" spans="1:8" x14ac:dyDescent="0.2">
      <c r="A67" s="11"/>
      <c r="B67" s="12"/>
      <c r="C67" s="12"/>
      <c r="D67" s="13"/>
      <c r="E67" s="5"/>
      <c r="F67" s="5"/>
      <c r="G67" s="5"/>
      <c r="H67" s="5"/>
    </row>
    <row r="68" spans="1:8" x14ac:dyDescent="0.2">
      <c r="A68" s="11"/>
      <c r="B68" s="5"/>
      <c r="C68" s="5"/>
      <c r="D68" s="13"/>
      <c r="E68" s="5"/>
      <c r="F68" s="5"/>
      <c r="G68" s="5"/>
      <c r="H68" s="5"/>
    </row>
    <row r="69" spans="1:8" x14ac:dyDescent="0.2">
      <c r="A69" s="11"/>
      <c r="B69" s="12"/>
      <c r="C69" s="12"/>
      <c r="D69" s="13"/>
      <c r="E69" s="5"/>
      <c r="F69" s="5"/>
      <c r="G69" s="5"/>
      <c r="H69" s="5"/>
    </row>
    <row r="70" spans="1:8" x14ac:dyDescent="0.2">
      <c r="A70" s="11"/>
      <c r="B70" s="12"/>
      <c r="C70" s="12"/>
      <c r="D70" s="13"/>
      <c r="E70" s="5"/>
      <c r="F70" s="5"/>
      <c r="G70" s="5"/>
      <c r="H70" s="5"/>
    </row>
    <row r="71" spans="1:8" x14ac:dyDescent="0.2">
      <c r="A71" s="11"/>
      <c r="B71" s="12"/>
      <c r="C71" s="12"/>
      <c r="D71" s="13"/>
      <c r="E71" s="5"/>
      <c r="F71" s="5"/>
      <c r="G71" s="5"/>
      <c r="H71" s="5"/>
    </row>
    <row r="72" spans="1:8" x14ac:dyDescent="0.2">
      <c r="A72" s="11"/>
      <c r="B72" s="12"/>
      <c r="C72" s="12"/>
      <c r="D72" s="13"/>
      <c r="E72" s="5"/>
      <c r="F72" s="5"/>
      <c r="G72" s="5"/>
      <c r="H72" s="5"/>
    </row>
    <row r="73" spans="1:8" x14ac:dyDescent="0.2">
      <c r="A73" s="11"/>
      <c r="B73" s="12"/>
      <c r="C73" s="12"/>
      <c r="D73" s="13"/>
      <c r="E73" s="5"/>
      <c r="F73" s="5"/>
      <c r="G73" s="5"/>
      <c r="H73" s="5"/>
    </row>
    <row r="74" spans="1:8" x14ac:dyDescent="0.2">
      <c r="A74" s="11"/>
      <c r="B74" s="12"/>
      <c r="C74" s="12"/>
      <c r="D74" s="13"/>
      <c r="E74" s="5"/>
      <c r="F74" s="5"/>
      <c r="G74" s="5"/>
      <c r="H74" s="5"/>
    </row>
    <row r="75" spans="1:8" x14ac:dyDescent="0.2">
      <c r="A75" s="11"/>
      <c r="B75" s="12"/>
      <c r="C75" s="12"/>
      <c r="D75" s="13"/>
      <c r="E75" s="5"/>
      <c r="F75" s="5"/>
      <c r="G75" s="5"/>
      <c r="H75" s="5"/>
    </row>
    <row r="76" spans="1:8" x14ac:dyDescent="0.2">
      <c r="A76" s="11"/>
      <c r="B76" s="5"/>
      <c r="C76" s="5"/>
      <c r="D76" s="13"/>
      <c r="E76" s="5"/>
      <c r="F76" s="5"/>
      <c r="G76" s="5"/>
      <c r="H76" s="5"/>
    </row>
    <row r="77" spans="1:8" x14ac:dyDescent="0.2">
      <c r="A77" s="11"/>
      <c r="B77" s="12"/>
      <c r="C77" s="12"/>
      <c r="D77" s="13"/>
      <c r="E77" s="5"/>
      <c r="F77" s="5"/>
      <c r="G77" s="5"/>
      <c r="H77" s="5"/>
    </row>
    <row r="78" spans="1:8" x14ac:dyDescent="0.2">
      <c r="A78" s="11"/>
      <c r="B78" s="12"/>
      <c r="C78" s="12"/>
      <c r="D78" s="13"/>
      <c r="E78" s="5"/>
      <c r="F78" s="5"/>
      <c r="G78" s="5"/>
      <c r="H78" s="5"/>
    </row>
    <row r="79" spans="1:8" x14ac:dyDescent="0.2">
      <c r="A79" s="11"/>
      <c r="B79" s="5"/>
      <c r="C79" s="5"/>
      <c r="D79" s="13"/>
      <c r="E79" s="5"/>
      <c r="F79" s="5"/>
      <c r="G79" s="5"/>
      <c r="H79" s="5"/>
    </row>
    <row r="80" spans="1:8" x14ac:dyDescent="0.2">
      <c r="A80" s="11"/>
      <c r="B80" s="12"/>
      <c r="C80" s="12"/>
      <c r="D80" s="13"/>
      <c r="E80" s="5"/>
      <c r="F80" s="5"/>
      <c r="G80" s="5"/>
      <c r="H80" s="5"/>
    </row>
    <row r="81" spans="1:8" x14ac:dyDescent="0.2">
      <c r="A81" s="11"/>
      <c r="B81" s="12"/>
      <c r="C81" s="12"/>
      <c r="D81" s="13"/>
      <c r="E81" s="5"/>
      <c r="F81" s="5"/>
      <c r="G81" s="5"/>
      <c r="H81" s="5"/>
    </row>
    <row r="82" spans="1:8" x14ac:dyDescent="0.2">
      <c r="A82" s="11"/>
      <c r="B82" s="5"/>
      <c r="C82" s="5"/>
      <c r="D82" s="13"/>
      <c r="E82" s="5"/>
      <c r="F82" s="5"/>
      <c r="G82" s="5"/>
      <c r="H82" s="5"/>
    </row>
    <row r="83" spans="1:8" x14ac:dyDescent="0.2">
      <c r="A83" s="11"/>
      <c r="B83" s="12"/>
      <c r="C83" s="12"/>
      <c r="D83" s="13"/>
      <c r="E83" s="5"/>
      <c r="F83" s="5"/>
      <c r="G83" s="5"/>
      <c r="H83" s="5"/>
    </row>
    <row r="84" spans="1:8" x14ac:dyDescent="0.2">
      <c r="A84" s="11"/>
      <c r="B84" s="12"/>
      <c r="C84" s="12"/>
      <c r="D84" s="13"/>
      <c r="E84" s="5"/>
      <c r="F84" s="5"/>
      <c r="G84" s="5"/>
      <c r="H84" s="5"/>
    </row>
    <row r="85" spans="1:8" x14ac:dyDescent="0.2">
      <c r="A85" s="11"/>
      <c r="B85" s="5"/>
      <c r="C85" s="5"/>
      <c r="D85" s="13"/>
      <c r="E85" s="5"/>
      <c r="F85" s="5"/>
      <c r="G85" s="5"/>
      <c r="H85" s="5"/>
    </row>
    <row r="86" spans="1:8" x14ac:dyDescent="0.2">
      <c r="A86" s="11"/>
      <c r="B86" s="12"/>
      <c r="C86" s="12"/>
      <c r="D86" s="13"/>
      <c r="E86" s="5"/>
      <c r="F86" s="5"/>
      <c r="G86" s="5"/>
      <c r="H86" s="5"/>
    </row>
    <row r="87" spans="1:8" x14ac:dyDescent="0.2">
      <c r="A87" s="11"/>
      <c r="B87" s="12"/>
      <c r="C87" s="12"/>
      <c r="D87" s="13"/>
      <c r="E87" s="5"/>
      <c r="F87" s="5"/>
      <c r="G87" s="5"/>
      <c r="H87" s="5"/>
    </row>
    <row r="88" spans="1:8" x14ac:dyDescent="0.2">
      <c r="A88" s="11"/>
      <c r="B88" s="5"/>
      <c r="C88" s="5"/>
      <c r="D88" s="13"/>
      <c r="E88" s="5"/>
      <c r="F88" s="5"/>
      <c r="G88" s="5"/>
      <c r="H88" s="5"/>
    </row>
    <row r="89" spans="1:8" x14ac:dyDescent="0.2">
      <c r="A89" s="11"/>
      <c r="B89" s="12"/>
      <c r="C89" s="12"/>
      <c r="D89" s="13"/>
      <c r="E89" s="5"/>
      <c r="F89" s="5"/>
      <c r="G89" s="5"/>
      <c r="H89" s="5"/>
    </row>
    <row r="90" spans="1:8" x14ac:dyDescent="0.2">
      <c r="A90" s="11"/>
      <c r="B90" s="5"/>
      <c r="C90" s="5"/>
      <c r="D90" s="13"/>
      <c r="E90" s="5"/>
      <c r="F90" s="5"/>
      <c r="G90" s="5"/>
      <c r="H90" s="5"/>
    </row>
    <row r="91" spans="1:8" x14ac:dyDescent="0.2">
      <c r="A91" s="11"/>
      <c r="B91" s="12"/>
      <c r="C91" s="12"/>
      <c r="D91" s="13"/>
      <c r="E91" s="5"/>
      <c r="F91" s="5"/>
      <c r="G91" s="5"/>
      <c r="H91" s="5"/>
    </row>
    <row r="92" spans="1:8" x14ac:dyDescent="0.2">
      <c r="A92" s="5"/>
      <c r="B92" s="5"/>
      <c r="C92" s="5"/>
      <c r="D92" s="13"/>
      <c r="E92" s="5"/>
      <c r="F92" s="5"/>
      <c r="G92" s="5"/>
      <c r="H92" s="5"/>
    </row>
    <row r="93" spans="1:8" x14ac:dyDescent="0.2">
      <c r="A93" s="5"/>
      <c r="B93" s="5"/>
      <c r="C93" s="5"/>
      <c r="D93" s="5"/>
      <c r="E93" s="5"/>
      <c r="F93" s="5"/>
      <c r="G93" s="5"/>
      <c r="H93" s="5"/>
    </row>
    <row r="94" spans="1:8" x14ac:dyDescent="0.2">
      <c r="A94" s="5"/>
      <c r="B94" s="5"/>
      <c r="C94" s="5"/>
      <c r="D94" s="5"/>
      <c r="E94" s="5"/>
      <c r="F94" s="5"/>
      <c r="G94" s="5"/>
      <c r="H94" s="5"/>
    </row>
    <row r="95" spans="1:8" x14ac:dyDescent="0.2">
      <c r="A95" s="5"/>
      <c r="B95" s="5"/>
      <c r="C95" s="5"/>
      <c r="D95" s="5"/>
      <c r="E95" s="5"/>
      <c r="F95" s="5"/>
      <c r="G95" s="5"/>
      <c r="H95" s="5"/>
    </row>
    <row r="96" spans="1:8" x14ac:dyDescent="0.2">
      <c r="A96" s="5"/>
      <c r="B96" s="5"/>
      <c r="C96" s="5"/>
      <c r="D96" s="5"/>
      <c r="E96" s="5"/>
      <c r="F96" s="5"/>
      <c r="G96" s="5"/>
      <c r="H96" s="5"/>
    </row>
    <row r="97" spans="1:8" x14ac:dyDescent="0.2">
      <c r="A97" s="5"/>
      <c r="B97" s="5"/>
      <c r="C97" s="5"/>
      <c r="D97" s="5"/>
      <c r="E97" s="5"/>
      <c r="F97" s="5"/>
      <c r="G97" s="5"/>
      <c r="H97" s="5"/>
    </row>
    <row r="98" spans="1:8" x14ac:dyDescent="0.2">
      <c r="A98" s="5"/>
      <c r="B98" s="5"/>
      <c r="C98" s="5"/>
      <c r="D98" s="5"/>
      <c r="E98" s="5"/>
      <c r="F98" s="5"/>
      <c r="G98" s="5"/>
      <c r="H98" s="5"/>
    </row>
    <row r="99" spans="1:8" x14ac:dyDescent="0.2">
      <c r="A99" s="5"/>
      <c r="B99" s="5"/>
      <c r="C99" s="5"/>
      <c r="D99" s="5"/>
      <c r="E99" s="5"/>
      <c r="F99" s="5"/>
      <c r="G99" s="5"/>
      <c r="H99" s="5"/>
    </row>
    <row r="100" spans="1:8" x14ac:dyDescent="0.2">
      <c r="A100" s="5"/>
      <c r="B100" s="5"/>
      <c r="C100" s="5"/>
      <c r="D100" s="5"/>
      <c r="E100" s="5"/>
      <c r="F100" s="5"/>
      <c r="G100" s="5"/>
      <c r="H100" s="5"/>
    </row>
    <row r="101" spans="1:8" x14ac:dyDescent="0.2">
      <c r="A101" s="5"/>
      <c r="B101" s="5"/>
      <c r="C101" s="5"/>
      <c r="D101" s="5"/>
      <c r="E101" s="5"/>
      <c r="F101" s="5"/>
      <c r="G101" s="5"/>
      <c r="H101" s="5"/>
    </row>
    <row r="102" spans="1:8" x14ac:dyDescent="0.2">
      <c r="A102" s="5"/>
      <c r="B102" s="5"/>
      <c r="C102" s="5"/>
      <c r="D102" s="5"/>
      <c r="E102" s="5"/>
      <c r="F102" s="5"/>
      <c r="G102" s="5"/>
      <c r="H102" s="5"/>
    </row>
    <row r="103" spans="1:8" x14ac:dyDescent="0.2">
      <c r="A103" s="5"/>
      <c r="B103" s="5"/>
      <c r="C103" s="5"/>
      <c r="D103" s="5"/>
      <c r="E103" s="5"/>
      <c r="F103" s="5"/>
      <c r="G103" s="5"/>
      <c r="H103" s="5"/>
    </row>
    <row r="104" spans="1:8" x14ac:dyDescent="0.2">
      <c r="A104" s="5"/>
      <c r="B104" s="5"/>
      <c r="C104" s="5"/>
      <c r="D104" s="5"/>
      <c r="E104" s="5"/>
      <c r="F104" s="5"/>
      <c r="G104" s="5"/>
      <c r="H104" s="5"/>
    </row>
    <row r="105" spans="1:8" x14ac:dyDescent="0.2">
      <c r="A105" s="5"/>
      <c r="B105" s="5"/>
      <c r="C105" s="5"/>
      <c r="D105" s="5"/>
      <c r="E105" s="5"/>
      <c r="F105" s="5"/>
      <c r="G105" s="5"/>
      <c r="H105" s="5"/>
    </row>
    <row r="106" spans="1:8" x14ac:dyDescent="0.2">
      <c r="A106" s="5"/>
      <c r="B106" s="5"/>
      <c r="C106" s="5"/>
      <c r="D106" s="5"/>
      <c r="E106" s="5"/>
      <c r="F106" s="5"/>
      <c r="G106" s="5"/>
      <c r="H106" s="5"/>
    </row>
    <row r="107" spans="1:8" x14ac:dyDescent="0.2">
      <c r="A107" s="5"/>
      <c r="B107" s="5"/>
      <c r="C107" s="5"/>
      <c r="D107" s="5"/>
      <c r="E107" s="5"/>
      <c r="F107" s="5"/>
      <c r="G107" s="5"/>
      <c r="H107" s="5"/>
    </row>
    <row r="108" spans="1:8" x14ac:dyDescent="0.2">
      <c r="A108" s="5"/>
      <c r="B108" s="5"/>
      <c r="C108" s="5"/>
      <c r="D108" s="5"/>
      <c r="E108" s="5"/>
      <c r="F108" s="5"/>
      <c r="G108" s="5"/>
      <c r="H108" s="5"/>
    </row>
    <row r="109" spans="1:8" x14ac:dyDescent="0.2">
      <c r="A109" s="5"/>
      <c r="B109" s="5"/>
      <c r="C109" s="5"/>
      <c r="D109" s="5"/>
      <c r="E109" s="5"/>
      <c r="F109" s="5"/>
      <c r="G109" s="5"/>
      <c r="H109" s="5"/>
    </row>
    <row r="110" spans="1:8" x14ac:dyDescent="0.2">
      <c r="A110" s="5"/>
      <c r="B110" s="5"/>
      <c r="C110" s="5"/>
      <c r="D110" s="5"/>
      <c r="E110" s="5"/>
      <c r="F110" s="5"/>
      <c r="G110" s="5"/>
      <c r="H110" s="5"/>
    </row>
    <row r="111" spans="1:8" x14ac:dyDescent="0.2">
      <c r="A111" s="5"/>
      <c r="B111" s="5"/>
      <c r="C111" s="5"/>
      <c r="D111" s="5"/>
      <c r="E111" s="5"/>
      <c r="F111" s="5"/>
      <c r="G111" s="5"/>
      <c r="H111" s="5"/>
    </row>
    <row r="112" spans="1:8" x14ac:dyDescent="0.2">
      <c r="A112" s="5"/>
      <c r="B112" s="5"/>
      <c r="C112" s="5"/>
      <c r="D112" s="5"/>
      <c r="E112" s="5"/>
      <c r="F112" s="5"/>
      <c r="G112" s="5"/>
      <c r="H112" s="5"/>
    </row>
    <row r="113" spans="1:8" x14ac:dyDescent="0.2">
      <c r="A113" s="5"/>
      <c r="B113" s="5"/>
      <c r="C113" s="5"/>
      <c r="D113" s="5"/>
      <c r="E113" s="5"/>
      <c r="F113" s="5"/>
      <c r="G113" s="5"/>
      <c r="H113" s="5"/>
    </row>
    <row r="114" spans="1:8" x14ac:dyDescent="0.2">
      <c r="A114" s="5"/>
      <c r="B114" s="5"/>
      <c r="C114" s="5"/>
      <c r="D114" s="5"/>
      <c r="E114" s="5"/>
      <c r="F114" s="5"/>
      <c r="G114" s="5"/>
      <c r="H114" s="5"/>
    </row>
    <row r="115" spans="1:8" x14ac:dyDescent="0.2">
      <c r="A115" s="5"/>
      <c r="B115" s="5"/>
      <c r="C115" s="5"/>
      <c r="D115" s="5"/>
      <c r="E115" s="5"/>
      <c r="F115" s="5"/>
      <c r="G115" s="5"/>
      <c r="H115" s="5"/>
    </row>
    <row r="116" spans="1:8" x14ac:dyDescent="0.2">
      <c r="A116" s="5"/>
      <c r="B116" s="5"/>
      <c r="C116" s="5"/>
      <c r="D116" s="5"/>
      <c r="E116" s="5"/>
      <c r="F116" s="5"/>
      <c r="G116" s="5"/>
      <c r="H116" s="5"/>
    </row>
    <row r="117" spans="1:8" x14ac:dyDescent="0.2">
      <c r="A117" s="5"/>
      <c r="B117" s="5"/>
      <c r="C117" s="5"/>
      <c r="D117" s="5"/>
      <c r="E117" s="5"/>
      <c r="F117" s="5"/>
      <c r="G117" s="5"/>
      <c r="H117" s="5"/>
    </row>
    <row r="118" spans="1:8" x14ac:dyDescent="0.2">
      <c r="A118" s="5"/>
      <c r="B118" s="5"/>
      <c r="C118" s="5"/>
      <c r="D118" s="5"/>
      <c r="E118" s="5"/>
      <c r="F118" s="5"/>
      <c r="G118" s="5"/>
      <c r="H118" s="5"/>
    </row>
    <row r="119" spans="1:8" x14ac:dyDescent="0.2">
      <c r="A119" s="5"/>
      <c r="B119" s="5"/>
      <c r="C119" s="5"/>
      <c r="D119" s="5"/>
      <c r="E119" s="5"/>
      <c r="F119" s="5"/>
      <c r="G119" s="5"/>
      <c r="H119" s="5"/>
    </row>
    <row r="120" spans="1:8" x14ac:dyDescent="0.2">
      <c r="A120" s="5"/>
      <c r="B120" s="5"/>
      <c r="C120" s="5"/>
      <c r="D120" s="5"/>
      <c r="E120" s="5"/>
      <c r="F120" s="5"/>
      <c r="G120" s="5"/>
      <c r="H120" s="5"/>
    </row>
    <row r="121" spans="1:8" x14ac:dyDescent="0.2">
      <c r="A121" s="5"/>
      <c r="B121" s="5"/>
      <c r="C121" s="5"/>
      <c r="D121" s="5"/>
      <c r="E121" s="5"/>
      <c r="F121" s="5"/>
      <c r="G121" s="5"/>
      <c r="H121" s="5"/>
    </row>
    <row r="122" spans="1:8" x14ac:dyDescent="0.2">
      <c r="A122" s="5"/>
      <c r="B122" s="5"/>
      <c r="C122" s="5"/>
      <c r="D122" s="5"/>
      <c r="E122" s="5"/>
      <c r="F122" s="5"/>
      <c r="G122" s="5"/>
      <c r="H122" s="5"/>
    </row>
    <row r="123" spans="1:8" x14ac:dyDescent="0.2">
      <c r="A123" s="5"/>
      <c r="B123" s="5"/>
      <c r="C123" s="5"/>
      <c r="D123" s="5"/>
      <c r="E123" s="5"/>
      <c r="F123" s="5"/>
      <c r="G123" s="5"/>
      <c r="H123" s="5"/>
    </row>
    <row r="124" spans="1:8" x14ac:dyDescent="0.2">
      <c r="A124" s="5"/>
      <c r="B124" s="5"/>
      <c r="C124" s="5"/>
      <c r="D124" s="5"/>
      <c r="E124" s="5"/>
      <c r="F124" s="5"/>
      <c r="G124" s="5"/>
      <c r="H124" s="5"/>
    </row>
    <row r="125" spans="1:8" x14ac:dyDescent="0.2">
      <c r="A125" s="5"/>
      <c r="B125" s="5"/>
      <c r="C125" s="5"/>
      <c r="D125" s="5"/>
      <c r="E125" s="5"/>
      <c r="F125" s="5"/>
      <c r="G125" s="5"/>
      <c r="H125" s="5"/>
    </row>
    <row r="126" spans="1:8" x14ac:dyDescent="0.2">
      <c r="A126" s="5"/>
      <c r="B126" s="5"/>
      <c r="C126" s="5"/>
      <c r="D126" s="5"/>
      <c r="E126" s="5"/>
      <c r="F126" s="5"/>
      <c r="G126" s="5"/>
      <c r="H126" s="5"/>
    </row>
    <row r="127" spans="1:8" x14ac:dyDescent="0.2">
      <c r="A127" s="5"/>
      <c r="B127" s="5"/>
      <c r="C127" s="5"/>
      <c r="D127" s="5"/>
      <c r="E127" s="5"/>
      <c r="F127" s="5"/>
      <c r="G127" s="5"/>
      <c r="H127" s="5"/>
    </row>
    <row r="128" spans="1:8" x14ac:dyDescent="0.2">
      <c r="A128" s="5"/>
      <c r="B128" s="5"/>
      <c r="C128" s="5"/>
      <c r="D128" s="5"/>
      <c r="E128" s="5"/>
      <c r="F128" s="5"/>
      <c r="G128" s="5"/>
      <c r="H128" s="5"/>
    </row>
    <row r="129" spans="1:8" x14ac:dyDescent="0.2">
      <c r="A129" s="5"/>
      <c r="B129" s="5"/>
      <c r="C129" s="5"/>
      <c r="D129" s="5"/>
      <c r="E129" s="5"/>
      <c r="F129" s="5"/>
      <c r="G129" s="5"/>
      <c r="H129" s="5"/>
    </row>
    <row r="130" spans="1:8" x14ac:dyDescent="0.2">
      <c r="A130" s="5"/>
      <c r="B130" s="5"/>
      <c r="C130" s="5"/>
      <c r="D130" s="5"/>
      <c r="E130" s="5"/>
      <c r="F130" s="5"/>
      <c r="G130" s="5"/>
      <c r="H130" s="5"/>
    </row>
    <row r="131" spans="1:8" x14ac:dyDescent="0.2">
      <c r="A131" s="5"/>
      <c r="B131" s="5"/>
      <c r="C131" s="5"/>
      <c r="D131" s="5"/>
      <c r="E131" s="5"/>
      <c r="F131" s="5"/>
      <c r="G131" s="5"/>
      <c r="H131" s="5"/>
    </row>
    <row r="132" spans="1:8" x14ac:dyDescent="0.2">
      <c r="A132" s="5"/>
      <c r="B132" s="5"/>
      <c r="C132" s="5"/>
      <c r="D132" s="5"/>
      <c r="E132" s="5"/>
      <c r="F132" s="5"/>
      <c r="G132" s="5"/>
      <c r="H132" s="5"/>
    </row>
    <row r="133" spans="1:8" x14ac:dyDescent="0.2">
      <c r="A133" s="5"/>
      <c r="B133" s="5"/>
      <c r="C133" s="5"/>
      <c r="D133" s="5"/>
      <c r="E133" s="5"/>
      <c r="F133" s="5"/>
      <c r="G133" s="5"/>
      <c r="H133" s="5"/>
    </row>
  </sheetData>
  <conditionalFormatting sqref="A3:H1000">
    <cfRule type="expression" dxfId="0" priority="1" stopIfTrue="1">
      <formula>$E3="AUTO"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Att">
                <anchor>
                  <from>
                    <xdr:col>8</xdr:col>
                    <xdr:colOff>171450</xdr:colOff>
                    <xdr:row>6</xdr:row>
                    <xdr:rowOff>19050</xdr:rowOff>
                  </from>
                  <to>
                    <xdr:col>10</xdr:col>
                    <xdr:colOff>390525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Z160"/>
  <sheetViews>
    <sheetView tabSelected="1" zoomScaleNormal="100" workbookViewId="0">
      <selection sqref="A1:N42"/>
    </sheetView>
  </sheetViews>
  <sheetFormatPr defaultRowHeight="12.75" x14ac:dyDescent="0.2"/>
  <cols>
    <col min="1" max="1" width="10.28515625" style="3" bestFit="1" customWidth="1"/>
    <col min="2" max="256" width="8.85546875" style="3"/>
    <col min="257" max="257" width="10.28515625" style="3" bestFit="1" customWidth="1"/>
    <col min="258" max="512" width="8.85546875" style="3"/>
    <col min="513" max="513" width="10.28515625" style="3" bestFit="1" customWidth="1"/>
    <col min="514" max="768" width="8.85546875" style="3"/>
    <col min="769" max="769" width="10.28515625" style="3" bestFit="1" customWidth="1"/>
    <col min="770" max="1024" width="8.85546875" style="3"/>
    <col min="1025" max="1025" width="10.28515625" style="3" bestFit="1" customWidth="1"/>
    <col min="1026" max="1280" width="8.85546875" style="3"/>
    <col min="1281" max="1281" width="10.28515625" style="3" bestFit="1" customWidth="1"/>
    <col min="1282" max="1536" width="8.85546875" style="3"/>
    <col min="1537" max="1537" width="10.28515625" style="3" bestFit="1" customWidth="1"/>
    <col min="1538" max="1792" width="8.85546875" style="3"/>
    <col min="1793" max="1793" width="10.28515625" style="3" bestFit="1" customWidth="1"/>
    <col min="1794" max="2048" width="8.85546875" style="3"/>
    <col min="2049" max="2049" width="10.28515625" style="3" bestFit="1" customWidth="1"/>
    <col min="2050" max="2304" width="8.85546875" style="3"/>
    <col min="2305" max="2305" width="10.28515625" style="3" bestFit="1" customWidth="1"/>
    <col min="2306" max="2560" width="8.85546875" style="3"/>
    <col min="2561" max="2561" width="10.28515625" style="3" bestFit="1" customWidth="1"/>
    <col min="2562" max="2816" width="8.85546875" style="3"/>
    <col min="2817" max="2817" width="10.28515625" style="3" bestFit="1" customWidth="1"/>
    <col min="2818" max="3072" width="8.85546875" style="3"/>
    <col min="3073" max="3073" width="10.28515625" style="3" bestFit="1" customWidth="1"/>
    <col min="3074" max="3328" width="8.85546875" style="3"/>
    <col min="3329" max="3329" width="10.28515625" style="3" bestFit="1" customWidth="1"/>
    <col min="3330" max="3584" width="8.85546875" style="3"/>
    <col min="3585" max="3585" width="10.28515625" style="3" bestFit="1" customWidth="1"/>
    <col min="3586" max="3840" width="8.85546875" style="3"/>
    <col min="3841" max="3841" width="10.28515625" style="3" bestFit="1" customWidth="1"/>
    <col min="3842" max="4096" width="8.85546875" style="3"/>
    <col min="4097" max="4097" width="10.28515625" style="3" bestFit="1" customWidth="1"/>
    <col min="4098" max="4352" width="8.85546875" style="3"/>
    <col min="4353" max="4353" width="10.28515625" style="3" bestFit="1" customWidth="1"/>
    <col min="4354" max="4608" width="8.85546875" style="3"/>
    <col min="4609" max="4609" width="10.28515625" style="3" bestFit="1" customWidth="1"/>
    <col min="4610" max="4864" width="8.85546875" style="3"/>
    <col min="4865" max="4865" width="10.28515625" style="3" bestFit="1" customWidth="1"/>
    <col min="4866" max="5120" width="8.85546875" style="3"/>
    <col min="5121" max="5121" width="10.28515625" style="3" bestFit="1" customWidth="1"/>
    <col min="5122" max="5376" width="8.85546875" style="3"/>
    <col min="5377" max="5377" width="10.28515625" style="3" bestFit="1" customWidth="1"/>
    <col min="5378" max="5632" width="8.85546875" style="3"/>
    <col min="5633" max="5633" width="10.28515625" style="3" bestFit="1" customWidth="1"/>
    <col min="5634" max="5888" width="8.85546875" style="3"/>
    <col min="5889" max="5889" width="10.28515625" style="3" bestFit="1" customWidth="1"/>
    <col min="5890" max="6144" width="8.85546875" style="3"/>
    <col min="6145" max="6145" width="10.28515625" style="3" bestFit="1" customWidth="1"/>
    <col min="6146" max="6400" width="8.85546875" style="3"/>
    <col min="6401" max="6401" width="10.28515625" style="3" bestFit="1" customWidth="1"/>
    <col min="6402" max="6656" width="8.85546875" style="3"/>
    <col min="6657" max="6657" width="10.28515625" style="3" bestFit="1" customWidth="1"/>
    <col min="6658" max="6912" width="8.85546875" style="3"/>
    <col min="6913" max="6913" width="10.28515625" style="3" bestFit="1" customWidth="1"/>
    <col min="6914" max="7168" width="8.85546875" style="3"/>
    <col min="7169" max="7169" width="10.28515625" style="3" bestFit="1" customWidth="1"/>
    <col min="7170" max="7424" width="8.85546875" style="3"/>
    <col min="7425" max="7425" width="10.28515625" style="3" bestFit="1" customWidth="1"/>
    <col min="7426" max="7680" width="8.85546875" style="3"/>
    <col min="7681" max="7681" width="10.28515625" style="3" bestFit="1" customWidth="1"/>
    <col min="7682" max="7936" width="8.85546875" style="3"/>
    <col min="7937" max="7937" width="10.28515625" style="3" bestFit="1" customWidth="1"/>
    <col min="7938" max="8192" width="8.85546875" style="3"/>
    <col min="8193" max="8193" width="10.28515625" style="3" bestFit="1" customWidth="1"/>
    <col min="8194" max="8448" width="8.85546875" style="3"/>
    <col min="8449" max="8449" width="10.28515625" style="3" bestFit="1" customWidth="1"/>
    <col min="8450" max="8704" width="8.85546875" style="3"/>
    <col min="8705" max="8705" width="10.28515625" style="3" bestFit="1" customWidth="1"/>
    <col min="8706" max="8960" width="8.85546875" style="3"/>
    <col min="8961" max="8961" width="10.28515625" style="3" bestFit="1" customWidth="1"/>
    <col min="8962" max="9216" width="8.85546875" style="3"/>
    <col min="9217" max="9217" width="10.28515625" style="3" bestFit="1" customWidth="1"/>
    <col min="9218" max="9472" width="8.85546875" style="3"/>
    <col min="9473" max="9473" width="10.28515625" style="3" bestFit="1" customWidth="1"/>
    <col min="9474" max="9728" width="8.85546875" style="3"/>
    <col min="9729" max="9729" width="10.28515625" style="3" bestFit="1" customWidth="1"/>
    <col min="9730" max="9984" width="8.85546875" style="3"/>
    <col min="9985" max="9985" width="10.28515625" style="3" bestFit="1" customWidth="1"/>
    <col min="9986" max="10240" width="8.85546875" style="3"/>
    <col min="10241" max="10241" width="10.28515625" style="3" bestFit="1" customWidth="1"/>
    <col min="10242" max="10496" width="8.85546875" style="3"/>
    <col min="10497" max="10497" width="10.28515625" style="3" bestFit="1" customWidth="1"/>
    <col min="10498" max="10752" width="8.85546875" style="3"/>
    <col min="10753" max="10753" width="10.28515625" style="3" bestFit="1" customWidth="1"/>
    <col min="10754" max="11008" width="8.85546875" style="3"/>
    <col min="11009" max="11009" width="10.28515625" style="3" bestFit="1" customWidth="1"/>
    <col min="11010" max="11264" width="8.85546875" style="3"/>
    <col min="11265" max="11265" width="10.28515625" style="3" bestFit="1" customWidth="1"/>
    <col min="11266" max="11520" width="8.85546875" style="3"/>
    <col min="11521" max="11521" width="10.28515625" style="3" bestFit="1" customWidth="1"/>
    <col min="11522" max="11776" width="8.85546875" style="3"/>
    <col min="11777" max="11777" width="10.28515625" style="3" bestFit="1" customWidth="1"/>
    <col min="11778" max="12032" width="8.85546875" style="3"/>
    <col min="12033" max="12033" width="10.28515625" style="3" bestFit="1" customWidth="1"/>
    <col min="12034" max="12288" width="8.85546875" style="3"/>
    <col min="12289" max="12289" width="10.28515625" style="3" bestFit="1" customWidth="1"/>
    <col min="12290" max="12544" width="8.85546875" style="3"/>
    <col min="12545" max="12545" width="10.28515625" style="3" bestFit="1" customWidth="1"/>
    <col min="12546" max="12800" width="8.85546875" style="3"/>
    <col min="12801" max="12801" width="10.28515625" style="3" bestFit="1" customWidth="1"/>
    <col min="12802" max="13056" width="8.85546875" style="3"/>
    <col min="13057" max="13057" width="10.28515625" style="3" bestFit="1" customWidth="1"/>
    <col min="13058" max="13312" width="8.85546875" style="3"/>
    <col min="13313" max="13313" width="10.28515625" style="3" bestFit="1" customWidth="1"/>
    <col min="13314" max="13568" width="8.85546875" style="3"/>
    <col min="13569" max="13569" width="10.28515625" style="3" bestFit="1" customWidth="1"/>
    <col min="13570" max="13824" width="8.85546875" style="3"/>
    <col min="13825" max="13825" width="10.28515625" style="3" bestFit="1" customWidth="1"/>
    <col min="13826" max="14080" width="8.85546875" style="3"/>
    <col min="14081" max="14081" width="10.28515625" style="3" bestFit="1" customWidth="1"/>
    <col min="14082" max="14336" width="8.85546875" style="3"/>
    <col min="14337" max="14337" width="10.28515625" style="3" bestFit="1" customWidth="1"/>
    <col min="14338" max="14592" width="8.85546875" style="3"/>
    <col min="14593" max="14593" width="10.28515625" style="3" bestFit="1" customWidth="1"/>
    <col min="14594" max="14848" width="8.85546875" style="3"/>
    <col min="14849" max="14849" width="10.28515625" style="3" bestFit="1" customWidth="1"/>
    <col min="14850" max="15104" width="8.85546875" style="3"/>
    <col min="15105" max="15105" width="10.28515625" style="3" bestFit="1" customWidth="1"/>
    <col min="15106" max="15360" width="8.85546875" style="3"/>
    <col min="15361" max="15361" width="10.28515625" style="3" bestFit="1" customWidth="1"/>
    <col min="15362" max="15616" width="8.85546875" style="3"/>
    <col min="15617" max="15617" width="10.28515625" style="3" bestFit="1" customWidth="1"/>
    <col min="15618" max="15872" width="8.85546875" style="3"/>
    <col min="15873" max="15873" width="10.28515625" style="3" bestFit="1" customWidth="1"/>
    <col min="15874" max="16128" width="8.85546875" style="3"/>
    <col min="16129" max="16129" width="10.28515625" style="3" bestFit="1" customWidth="1"/>
    <col min="16130" max="16384" width="8.85546875" style="3"/>
  </cols>
  <sheetData>
    <row r="2" spans="1:52" x14ac:dyDescent="0.2">
      <c r="B2" s="18" t="s">
        <v>1</v>
      </c>
      <c r="C2" s="18">
        <v>102</v>
      </c>
      <c r="D2" s="18"/>
      <c r="E2" s="18"/>
      <c r="F2" s="18" t="s">
        <v>9</v>
      </c>
      <c r="G2" s="18"/>
      <c r="H2" s="18"/>
      <c r="I2" s="18"/>
    </row>
    <row r="3" spans="1:52" x14ac:dyDescent="0.2">
      <c r="B3" s="18" t="s">
        <v>11</v>
      </c>
      <c r="C3" s="19">
        <v>0.375</v>
      </c>
      <c r="D3" s="18" t="s">
        <v>19</v>
      </c>
      <c r="E3" s="18">
        <v>60</v>
      </c>
      <c r="F3" s="18" t="s">
        <v>20</v>
      </c>
      <c r="G3" s="18">
        <f>COUNTA(B8:B35)</f>
        <v>26</v>
      </c>
      <c r="H3" s="18" t="s">
        <v>21</v>
      </c>
      <c r="I3" s="18">
        <v>3.1</v>
      </c>
    </row>
    <row r="4" spans="1:52" x14ac:dyDescent="0.2">
      <c r="B4" s="18" t="s">
        <v>12</v>
      </c>
      <c r="C4" s="19">
        <v>0.83333333333333337</v>
      </c>
      <c r="D4" s="18" t="s">
        <v>22</v>
      </c>
      <c r="E4" s="18">
        <v>600</v>
      </c>
      <c r="F4" s="18" t="s">
        <v>23</v>
      </c>
      <c r="G4" s="18">
        <f>COUNTIF(M8:M35,"&gt; 0")</f>
        <v>24</v>
      </c>
      <c r="H4" s="18"/>
      <c r="I4" s="18"/>
    </row>
    <row r="7" spans="1:52" ht="13.5" thickBot="1" x14ac:dyDescent="0.25">
      <c r="A7" s="3" t="s">
        <v>10</v>
      </c>
      <c r="B7" s="3" t="s">
        <v>24</v>
      </c>
      <c r="H7" s="3" t="s">
        <v>25</v>
      </c>
      <c r="I7" s="3" t="s">
        <v>19</v>
      </c>
      <c r="J7" s="3" t="s">
        <v>26</v>
      </c>
      <c r="L7" s="3" t="s">
        <v>27</v>
      </c>
      <c r="M7" s="3" t="s">
        <v>13</v>
      </c>
      <c r="N7" s="3" t="s">
        <v>28</v>
      </c>
    </row>
    <row r="8" spans="1:52" ht="13.5" thickTop="1" x14ac:dyDescent="0.2">
      <c r="A8" s="20">
        <v>42036</v>
      </c>
      <c r="B8" s="21">
        <v>42036.316666666666</v>
      </c>
      <c r="C8" s="21">
        <v>42036.636805555558</v>
      </c>
      <c r="D8" s="21">
        <v>42036.667361111111</v>
      </c>
      <c r="E8" s="21">
        <v>42036.879861111112</v>
      </c>
      <c r="F8" s="21"/>
      <c r="G8" s="21"/>
      <c r="H8" s="22">
        <v>461</v>
      </c>
      <c r="I8" s="22">
        <v>44</v>
      </c>
      <c r="J8" s="22">
        <v>306</v>
      </c>
      <c r="K8" s="22"/>
      <c r="L8" s="22">
        <f>H8+J8</f>
        <v>767</v>
      </c>
      <c r="M8" s="22">
        <v>151</v>
      </c>
      <c r="N8" s="22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 x14ac:dyDescent="0.2">
      <c r="A9" s="23">
        <v>42037</v>
      </c>
      <c r="B9" s="24">
        <v>42037.351388888892</v>
      </c>
      <c r="C9" s="24">
        <v>42037.636111111111</v>
      </c>
      <c r="D9" s="24">
        <v>42037.679166666669</v>
      </c>
      <c r="E9" s="24">
        <v>42037.881944444445</v>
      </c>
      <c r="F9" s="24"/>
      <c r="G9" s="24"/>
      <c r="H9" s="25">
        <v>410</v>
      </c>
      <c r="I9" s="25">
        <v>62</v>
      </c>
      <c r="J9" s="25">
        <v>292</v>
      </c>
      <c r="K9" s="25"/>
      <c r="L9" s="25">
        <f>H9+J9</f>
        <v>702</v>
      </c>
      <c r="M9" s="25">
        <v>104</v>
      </c>
      <c r="N9" s="25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</row>
    <row r="10" spans="1:52" x14ac:dyDescent="0.2">
      <c r="A10" s="23">
        <v>42038</v>
      </c>
      <c r="B10" s="24">
        <v>42038.352777777778</v>
      </c>
      <c r="C10" s="24">
        <v>42038.63958333333</v>
      </c>
      <c r="D10" s="24">
        <v>42038.668055555558</v>
      </c>
      <c r="E10" s="24">
        <v>42038.884027777778</v>
      </c>
      <c r="F10" s="24"/>
      <c r="G10" s="24"/>
      <c r="H10" s="25">
        <v>413</v>
      </c>
      <c r="I10" s="25">
        <v>41</v>
      </c>
      <c r="J10" s="25">
        <v>311</v>
      </c>
      <c r="K10" s="25"/>
      <c r="L10" s="25">
        <f>H10+J10</f>
        <v>724</v>
      </c>
      <c r="M10" s="25">
        <v>105</v>
      </c>
      <c r="N10" s="25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</row>
    <row r="11" spans="1:52" x14ac:dyDescent="0.2">
      <c r="A11" s="23">
        <v>42039</v>
      </c>
      <c r="B11" s="24">
        <v>42039.352083333331</v>
      </c>
      <c r="C11" s="24">
        <v>42039.625694444447</v>
      </c>
      <c r="D11" s="24">
        <v>42039.658333333333</v>
      </c>
      <c r="E11" s="24">
        <v>42039.894444444442</v>
      </c>
      <c r="F11" s="24"/>
      <c r="G11" s="24"/>
      <c r="H11" s="25">
        <v>394</v>
      </c>
      <c r="I11" s="25">
        <v>47</v>
      </c>
      <c r="J11" s="25">
        <v>340</v>
      </c>
      <c r="K11" s="25"/>
      <c r="L11" s="25">
        <f>H11+J11</f>
        <v>734</v>
      </c>
      <c r="M11" s="25">
        <v>121</v>
      </c>
      <c r="N11" s="25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x14ac:dyDescent="0.2">
      <c r="A12" s="23">
        <v>42040</v>
      </c>
      <c r="B12" s="24">
        <v>42040.336111111108</v>
      </c>
      <c r="C12" s="24">
        <v>42040.626388888886</v>
      </c>
      <c r="D12" s="24">
        <v>42040.661805555559</v>
      </c>
      <c r="E12" s="24">
        <v>42040.884027777778</v>
      </c>
      <c r="F12" s="24"/>
      <c r="G12" s="24"/>
      <c r="H12" s="25">
        <v>418</v>
      </c>
      <c r="I12" s="25">
        <v>51</v>
      </c>
      <c r="J12" s="25">
        <v>320</v>
      </c>
      <c r="K12" s="25"/>
      <c r="L12" s="25">
        <f>H12+J12</f>
        <v>738</v>
      </c>
      <c r="M12" s="25">
        <v>129</v>
      </c>
      <c r="N12" s="25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x14ac:dyDescent="0.2">
      <c r="A13" s="23">
        <v>42041</v>
      </c>
      <c r="B13" s="24">
        <v>42041.339583333334</v>
      </c>
      <c r="C13" s="24">
        <v>42041.619444444441</v>
      </c>
      <c r="D13" s="24">
        <v>42041.675694444442</v>
      </c>
      <c r="E13" s="24">
        <v>42041.913888888892</v>
      </c>
      <c r="F13" s="24"/>
      <c r="G13" s="24"/>
      <c r="H13" s="25">
        <v>403</v>
      </c>
      <c r="I13" s="25">
        <v>81</v>
      </c>
      <c r="J13" s="25">
        <v>343</v>
      </c>
      <c r="K13" s="25"/>
      <c r="L13" s="25">
        <f>H13+J13</f>
        <v>746</v>
      </c>
      <c r="M13" s="25">
        <v>167</v>
      </c>
      <c r="N13" s="25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x14ac:dyDescent="0.2">
      <c r="A14" s="23">
        <v>42042</v>
      </c>
      <c r="B14" s="24">
        <v>42042.326388888891</v>
      </c>
      <c r="C14" s="24">
        <v>42042.943749999999</v>
      </c>
      <c r="D14" s="24"/>
      <c r="E14" s="24"/>
      <c r="F14" s="24"/>
      <c r="G14" s="24"/>
      <c r="H14" s="25">
        <v>889</v>
      </c>
      <c r="I14" s="25"/>
      <c r="J14" s="25"/>
      <c r="K14" s="25"/>
      <c r="L14" s="25">
        <f>H14+J14</f>
        <v>889</v>
      </c>
      <c r="M14" s="25">
        <v>229</v>
      </c>
      <c r="N14" s="25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x14ac:dyDescent="0.2">
      <c r="A15" s="23">
        <v>42043</v>
      </c>
      <c r="B15" s="24">
        <v>42043.343055555553</v>
      </c>
      <c r="C15" s="24">
        <v>42043.581944444442</v>
      </c>
      <c r="D15" s="24">
        <v>42043.623611111114</v>
      </c>
      <c r="E15" s="24">
        <v>42043.861805555556</v>
      </c>
      <c r="F15" s="24"/>
      <c r="G15" s="24"/>
      <c r="H15" s="25">
        <v>344</v>
      </c>
      <c r="I15" s="25">
        <v>60</v>
      </c>
      <c r="J15" s="25">
        <v>343</v>
      </c>
      <c r="K15" s="25"/>
      <c r="L15" s="25">
        <f>H15+J15</f>
        <v>687</v>
      </c>
      <c r="M15" s="25">
        <v>87</v>
      </c>
      <c r="N15" s="25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x14ac:dyDescent="0.2">
      <c r="A16" s="23">
        <v>42044</v>
      </c>
      <c r="B16" s="24">
        <v>42044.333333333336</v>
      </c>
      <c r="C16" s="24">
        <v>42044.892361111109</v>
      </c>
      <c r="D16" s="24"/>
      <c r="E16" s="24"/>
      <c r="F16" s="24"/>
      <c r="G16" s="24"/>
      <c r="H16" s="25">
        <v>805</v>
      </c>
      <c r="I16" s="25"/>
      <c r="J16" s="25"/>
      <c r="K16" s="25"/>
      <c r="L16" s="25">
        <f>H16+J16</f>
        <v>805</v>
      </c>
      <c r="M16" s="25">
        <v>145</v>
      </c>
      <c r="N16" s="25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x14ac:dyDescent="0.2">
      <c r="A17" s="23">
        <v>42045</v>
      </c>
      <c r="B17" s="24">
        <v>42045.336805555555</v>
      </c>
      <c r="C17" s="24">
        <v>42045.626388888886</v>
      </c>
      <c r="D17" s="24">
        <v>42045.659722222219</v>
      </c>
      <c r="E17" s="24">
        <v>42045.928472222222</v>
      </c>
      <c r="F17" s="24"/>
      <c r="G17" s="24"/>
      <c r="H17" s="25">
        <v>417</v>
      </c>
      <c r="I17" s="25">
        <v>48</v>
      </c>
      <c r="J17" s="25">
        <v>387</v>
      </c>
      <c r="K17" s="25"/>
      <c r="L17" s="25">
        <f>H17+J17</f>
        <v>804</v>
      </c>
      <c r="M17" s="25">
        <v>192</v>
      </c>
      <c r="N17" s="25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x14ac:dyDescent="0.2">
      <c r="A18" s="23">
        <v>42046</v>
      </c>
      <c r="B18" s="24">
        <v>42046.332638888889</v>
      </c>
      <c r="C18" s="24">
        <v>42047.041666666664</v>
      </c>
      <c r="D18" s="24"/>
      <c r="E18" s="24"/>
      <c r="F18" s="24"/>
      <c r="G18" s="24"/>
      <c r="H18" s="25">
        <v>1021</v>
      </c>
      <c r="I18" s="25"/>
      <c r="J18" s="25"/>
      <c r="K18" s="25"/>
      <c r="L18" s="25">
        <f>H18+J18</f>
        <v>1021</v>
      </c>
      <c r="M18" s="25">
        <v>361</v>
      </c>
      <c r="N18" s="25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x14ac:dyDescent="0.2">
      <c r="A19" s="23">
        <v>42047</v>
      </c>
      <c r="B19" s="24">
        <v>42047.340277777781</v>
      </c>
      <c r="C19" s="24">
        <v>42048.095138888886</v>
      </c>
      <c r="D19" s="24"/>
      <c r="E19" s="24"/>
      <c r="F19" s="24"/>
      <c r="G19" s="24"/>
      <c r="H19" s="25">
        <v>1087</v>
      </c>
      <c r="I19" s="25"/>
      <c r="J19" s="25"/>
      <c r="K19" s="25"/>
      <c r="L19" s="25">
        <f>H19+J19</f>
        <v>1087</v>
      </c>
      <c r="M19" s="25">
        <v>427</v>
      </c>
      <c r="N19" s="25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x14ac:dyDescent="0.2">
      <c r="A20" s="23">
        <v>42048</v>
      </c>
      <c r="B20" s="24">
        <v>42048.335416666669</v>
      </c>
      <c r="C20" s="24">
        <v>42049.240972222222</v>
      </c>
      <c r="D20" s="24"/>
      <c r="E20" s="24"/>
      <c r="F20" s="24"/>
      <c r="G20" s="24"/>
      <c r="H20" s="25">
        <v>1304</v>
      </c>
      <c r="I20" s="25"/>
      <c r="J20" s="25"/>
      <c r="K20" s="25"/>
      <c r="L20" s="25">
        <f>H20+J20</f>
        <v>1304</v>
      </c>
      <c r="M20" s="25">
        <v>644</v>
      </c>
      <c r="N20" s="25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x14ac:dyDescent="0.2">
      <c r="A21" s="23">
        <v>42049</v>
      </c>
      <c r="B21" s="24">
        <v>42049.338888888888</v>
      </c>
      <c r="C21" s="24">
        <v>42049.929861111108</v>
      </c>
      <c r="D21" s="24"/>
      <c r="E21" s="24"/>
      <c r="F21" s="24"/>
      <c r="G21" s="24"/>
      <c r="H21" s="25">
        <v>851</v>
      </c>
      <c r="I21" s="25"/>
      <c r="J21" s="25"/>
      <c r="K21" s="25"/>
      <c r="L21" s="25">
        <f>H21+J21</f>
        <v>851</v>
      </c>
      <c r="M21" s="25">
        <v>191</v>
      </c>
      <c r="N21" s="25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x14ac:dyDescent="0.2">
      <c r="A22" s="23">
        <v>42050</v>
      </c>
      <c r="B22" s="24">
        <v>42050.371527777781</v>
      </c>
      <c r="C22" s="24">
        <v>42051.048611111109</v>
      </c>
      <c r="D22" s="24"/>
      <c r="E22" s="24"/>
      <c r="F22" s="24"/>
      <c r="G22" s="24"/>
      <c r="H22" s="25">
        <v>975</v>
      </c>
      <c r="I22" s="25"/>
      <c r="J22" s="25"/>
      <c r="K22" s="25"/>
      <c r="L22" s="25">
        <f>H22+J22</f>
        <v>975</v>
      </c>
      <c r="M22" s="25">
        <v>310</v>
      </c>
      <c r="N22" s="25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x14ac:dyDescent="0.2">
      <c r="A23" s="23">
        <v>42051</v>
      </c>
      <c r="B23" s="24">
        <v>42051.327777777777</v>
      </c>
      <c r="C23" s="24">
        <v>42052.118055555555</v>
      </c>
      <c r="D23" s="24"/>
      <c r="E23" s="24"/>
      <c r="F23" s="24"/>
      <c r="G23" s="24"/>
      <c r="H23" s="25">
        <v>1138</v>
      </c>
      <c r="I23" s="25"/>
      <c r="J23" s="25"/>
      <c r="K23" s="25"/>
      <c r="L23" s="25">
        <f>H23+J23</f>
        <v>1138</v>
      </c>
      <c r="M23" s="25">
        <v>478</v>
      </c>
      <c r="N23" s="25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x14ac:dyDescent="0.2">
      <c r="A24" s="23">
        <v>42052</v>
      </c>
      <c r="B24" s="24">
        <v>42052.335416666669</v>
      </c>
      <c r="C24" s="24">
        <v>42053.123611111114</v>
      </c>
      <c r="D24" s="24"/>
      <c r="E24" s="24"/>
      <c r="F24" s="24"/>
      <c r="G24" s="24"/>
      <c r="H24" s="25">
        <v>1135</v>
      </c>
      <c r="I24" s="25"/>
      <c r="J24" s="25"/>
      <c r="K24" s="25"/>
      <c r="L24" s="25">
        <f>H24+J24</f>
        <v>1135</v>
      </c>
      <c r="M24" s="25">
        <v>475</v>
      </c>
      <c r="N24" s="25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x14ac:dyDescent="0.2">
      <c r="A25" s="23">
        <v>42053</v>
      </c>
      <c r="B25" s="24">
        <v>42053.337500000001</v>
      </c>
      <c r="C25" s="24">
        <v>42054.020138888889</v>
      </c>
      <c r="D25" s="24"/>
      <c r="E25" s="24"/>
      <c r="F25" s="24"/>
      <c r="G25" s="24"/>
      <c r="H25" s="25">
        <v>983</v>
      </c>
      <c r="I25" s="25"/>
      <c r="J25" s="25"/>
      <c r="K25" s="25"/>
      <c r="L25" s="25">
        <f>H25+J25</f>
        <v>983</v>
      </c>
      <c r="M25" s="25">
        <v>323</v>
      </c>
      <c r="N25" s="25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x14ac:dyDescent="0.2">
      <c r="A26" s="23">
        <v>42054</v>
      </c>
      <c r="B26" s="24"/>
      <c r="C26" s="24"/>
      <c r="D26" s="24"/>
      <c r="E26" s="24"/>
      <c r="F26" s="24"/>
      <c r="G26" s="24"/>
      <c r="H26" s="25"/>
      <c r="I26" s="25"/>
      <c r="J26" s="25"/>
      <c r="K26" s="25"/>
      <c r="L26" s="25">
        <f>H26+J26</f>
        <v>0</v>
      </c>
      <c r="M26" s="25">
        <v>0</v>
      </c>
      <c r="N26" s="25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x14ac:dyDescent="0.2">
      <c r="A27" s="23">
        <v>42055</v>
      </c>
      <c r="B27" s="24">
        <v>42055.529166666667</v>
      </c>
      <c r="C27" s="24">
        <v>42055.833333333336</v>
      </c>
      <c r="D27" s="24"/>
      <c r="E27" s="24"/>
      <c r="F27" s="24"/>
      <c r="G27" s="24"/>
      <c r="H27" s="25">
        <v>438</v>
      </c>
      <c r="I27" s="25"/>
      <c r="J27" s="25"/>
      <c r="K27" s="25"/>
      <c r="L27" s="25">
        <f>H27+J27</f>
        <v>438</v>
      </c>
      <c r="M27" s="25">
        <v>0</v>
      </c>
      <c r="N27" s="25">
        <v>438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x14ac:dyDescent="0.2">
      <c r="A28" s="23">
        <v>42056</v>
      </c>
      <c r="B28" s="24"/>
      <c r="C28" s="24"/>
      <c r="D28" s="24"/>
      <c r="E28" s="24"/>
      <c r="F28" s="24"/>
      <c r="G28" s="24"/>
      <c r="H28" s="25"/>
      <c r="I28" s="25"/>
      <c r="J28" s="25"/>
      <c r="K28" s="25"/>
      <c r="L28" s="25"/>
      <c r="M28" s="25"/>
      <c r="N28" s="25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x14ac:dyDescent="0.2">
      <c r="A29" s="23">
        <v>42057</v>
      </c>
      <c r="B29" s="24">
        <v>42057.442361111112</v>
      </c>
      <c r="C29" s="24">
        <v>42057.817361111112</v>
      </c>
      <c r="D29" s="24"/>
      <c r="E29" s="24"/>
      <c r="F29" s="24"/>
      <c r="G29" s="24"/>
      <c r="H29" s="25">
        <v>540</v>
      </c>
      <c r="I29" s="25"/>
      <c r="J29" s="25"/>
      <c r="K29" s="25"/>
      <c r="L29" s="25">
        <f>H29+J29</f>
        <v>540</v>
      </c>
      <c r="M29" s="25">
        <v>0</v>
      </c>
      <c r="N29" s="25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x14ac:dyDescent="0.2">
      <c r="A30" s="23">
        <v>42058</v>
      </c>
      <c r="B30" s="24">
        <v>42058.307638888888</v>
      </c>
      <c r="C30" s="24">
        <v>42058.663888888892</v>
      </c>
      <c r="D30" s="24"/>
      <c r="E30" s="24"/>
      <c r="F30" s="24"/>
      <c r="G30" s="24"/>
      <c r="H30" s="25">
        <v>513</v>
      </c>
      <c r="I30" s="25"/>
      <c r="J30" s="25"/>
      <c r="K30" s="25"/>
      <c r="L30" s="25">
        <f>H30+J30</f>
        <v>513</v>
      </c>
      <c r="M30" s="25">
        <v>97</v>
      </c>
      <c r="N30" s="25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x14ac:dyDescent="0.2">
      <c r="A31" s="23">
        <v>42059</v>
      </c>
      <c r="B31" s="24">
        <v>42059.349305555559</v>
      </c>
      <c r="C31" s="24">
        <v>42059.785416666666</v>
      </c>
      <c r="D31" s="24"/>
      <c r="E31" s="24"/>
      <c r="F31" s="24"/>
      <c r="G31" s="24"/>
      <c r="H31" s="25">
        <v>628</v>
      </c>
      <c r="I31" s="25"/>
      <c r="J31" s="25"/>
      <c r="K31" s="25"/>
      <c r="L31" s="25">
        <f>H31+J31</f>
        <v>628</v>
      </c>
      <c r="M31" s="25">
        <v>37</v>
      </c>
      <c r="N31" s="25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x14ac:dyDescent="0.2">
      <c r="A32" s="23">
        <v>42060</v>
      </c>
      <c r="B32" s="24">
        <v>42060.353472222225</v>
      </c>
      <c r="C32" s="24">
        <v>42060.894444444442</v>
      </c>
      <c r="D32" s="24"/>
      <c r="E32" s="24"/>
      <c r="F32" s="24"/>
      <c r="G32" s="24"/>
      <c r="H32" s="25">
        <v>779</v>
      </c>
      <c r="I32" s="25"/>
      <c r="J32" s="25"/>
      <c r="K32" s="25"/>
      <c r="L32" s="25">
        <f>H32+J32</f>
        <v>779</v>
      </c>
      <c r="M32" s="25">
        <v>119</v>
      </c>
      <c r="N32" s="25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x14ac:dyDescent="0.2">
      <c r="A33" s="23">
        <v>42061</v>
      </c>
      <c r="B33" s="24">
        <v>42061.353472222225</v>
      </c>
      <c r="C33" s="24">
        <v>42061.884027777778</v>
      </c>
      <c r="D33" s="24"/>
      <c r="E33" s="24"/>
      <c r="F33" s="24"/>
      <c r="G33" s="24"/>
      <c r="H33" s="25">
        <v>764</v>
      </c>
      <c r="I33" s="25"/>
      <c r="J33" s="25"/>
      <c r="K33" s="25"/>
      <c r="L33" s="25">
        <f>H33+J33</f>
        <v>764</v>
      </c>
      <c r="M33" s="25">
        <v>104</v>
      </c>
      <c r="N33" s="25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x14ac:dyDescent="0.2">
      <c r="A34" s="23">
        <v>42062</v>
      </c>
      <c r="B34" s="24">
        <v>42062.349305555559</v>
      </c>
      <c r="C34" s="24">
        <v>42063.118750000001</v>
      </c>
      <c r="D34" s="24"/>
      <c r="E34" s="24"/>
      <c r="F34" s="24"/>
      <c r="G34" s="24"/>
      <c r="H34" s="25">
        <v>1108</v>
      </c>
      <c r="I34" s="25"/>
      <c r="J34" s="25"/>
      <c r="K34" s="25"/>
      <c r="L34" s="25">
        <f>H34+J34</f>
        <v>1108</v>
      </c>
      <c r="M34" s="25">
        <v>448</v>
      </c>
      <c r="N34" s="25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3.5" thickBot="1" x14ac:dyDescent="0.25">
      <c r="A35" s="26">
        <v>42063</v>
      </c>
      <c r="B35" s="27">
        <v>42063.330555555556</v>
      </c>
      <c r="C35" s="27">
        <v>42063.851388888892</v>
      </c>
      <c r="D35" s="27"/>
      <c r="E35" s="27"/>
      <c r="F35" s="27"/>
      <c r="G35" s="27"/>
      <c r="H35" s="28">
        <v>750</v>
      </c>
      <c r="I35" s="28"/>
      <c r="J35" s="28"/>
      <c r="K35" s="28"/>
      <c r="L35" s="28">
        <f>H35+J35</f>
        <v>750</v>
      </c>
      <c r="M35" s="28">
        <v>90</v>
      </c>
      <c r="N35" s="28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3.5" thickTop="1" x14ac:dyDescent="0.2">
      <c r="A36" s="29"/>
      <c r="B36" s="12"/>
      <c r="C36" s="12"/>
      <c r="D36" s="12"/>
      <c r="E36" s="12"/>
      <c r="F36" s="12"/>
      <c r="G36" s="12"/>
      <c r="H36" s="13"/>
      <c r="I36" s="13"/>
      <c r="J36" s="13"/>
      <c r="K36" s="13"/>
      <c r="L36" s="13">
        <f>SUM(L8:L35)</f>
        <v>21610</v>
      </c>
      <c r="M36" s="13">
        <f>SUM(M8:M35)</f>
        <v>5534</v>
      </c>
      <c r="N36" s="13">
        <f>SUM(N8:N35)</f>
        <v>438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x14ac:dyDescent="0.2">
      <c r="A37" s="29"/>
      <c r="B37" s="12"/>
      <c r="C37" s="12"/>
      <c r="D37" s="12"/>
      <c r="E37" s="12"/>
      <c r="F37" s="12"/>
      <c r="G37" s="12"/>
      <c r="H37" s="30"/>
      <c r="I37" s="30"/>
      <c r="J37" s="30"/>
      <c r="K37" s="30"/>
      <c r="L37" s="30">
        <f>(L36/60)</f>
        <v>360.16666666666669</v>
      </c>
      <c r="M37" s="30">
        <f>(M36/60)</f>
        <v>92.233333333333334</v>
      </c>
      <c r="N37" s="30">
        <f>(N36/60)</f>
        <v>7.3</v>
      </c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</row>
    <row r="38" spans="1:52" x14ac:dyDescent="0.2">
      <c r="A38" s="29"/>
      <c r="B38" s="12"/>
      <c r="C38" s="12"/>
      <c r="D38" s="12"/>
      <c r="E38" s="12"/>
      <c r="F38" s="12"/>
      <c r="G38" s="12"/>
      <c r="H38" s="13"/>
      <c r="I38" s="13"/>
      <c r="J38" s="13"/>
      <c r="K38" s="13"/>
      <c r="L38" s="13"/>
      <c r="M38" s="13"/>
      <c r="N38" s="13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x14ac:dyDescent="0.2">
      <c r="A39" s="29"/>
      <c r="B39" s="12"/>
      <c r="C39" s="12"/>
      <c r="D39" s="12"/>
      <c r="E39" s="12"/>
      <c r="F39" s="12"/>
      <c r="G39" s="12"/>
      <c r="H39" s="30"/>
      <c r="I39" s="30"/>
      <c r="J39" s="30"/>
      <c r="K39" s="30"/>
      <c r="L39" s="30"/>
      <c r="M39" s="30"/>
      <c r="N39" s="30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</row>
    <row r="40" spans="1:52" x14ac:dyDescent="0.2">
      <c r="A40" s="29"/>
      <c r="B40" s="5"/>
      <c r="C40" s="5"/>
      <c r="D40" s="5"/>
      <c r="E40" s="5"/>
      <c r="F40" s="5"/>
      <c r="G40" s="5"/>
      <c r="H40" s="30"/>
      <c r="I40" s="30"/>
      <c r="J40" s="30"/>
      <c r="K40" s="30"/>
      <c r="L40" s="30"/>
      <c r="M40" s="30"/>
      <c r="N40" s="30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</row>
    <row r="41" spans="1:52" x14ac:dyDescent="0.2">
      <c r="A41" s="29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52" x14ac:dyDescent="0.2">
      <c r="A42" s="29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52" x14ac:dyDescent="0.2">
      <c r="A43" s="29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52" x14ac:dyDescent="0.2">
      <c r="A44" s="29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52" x14ac:dyDescent="0.2">
      <c r="A45" s="29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52" x14ac:dyDescent="0.2">
      <c r="A46" s="29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52" x14ac:dyDescent="0.2">
      <c r="A47" s="29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52" x14ac:dyDescent="0.2">
      <c r="A48" s="29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">
      <c r="A49" s="29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">
      <c r="A50" s="29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">
      <c r="A51" s="29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">
      <c r="A52" s="29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">
      <c r="A53" s="29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">
      <c r="A54" s="29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 x14ac:dyDescent="0.2">
      <c r="A55" s="29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x14ac:dyDescent="0.2">
      <c r="A56" s="29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 x14ac:dyDescent="0.2">
      <c r="A57" s="29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 x14ac:dyDescent="0.2">
      <c r="A58" s="29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 x14ac:dyDescent="0.2">
      <c r="A59" s="29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 x14ac:dyDescent="0.2">
      <c r="A60" s="29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</row>
    <row r="61" spans="1:14" x14ac:dyDescent="0.2">
      <c r="A61" s="29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1:14" x14ac:dyDescent="0.2">
      <c r="A62" s="29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1:14" x14ac:dyDescent="0.2">
      <c r="A63" s="29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r="64" spans="1:14" x14ac:dyDescent="0.2">
      <c r="A64" s="29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</row>
    <row r="65" spans="1:14" x14ac:dyDescent="0.2">
      <c r="A65" s="29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r="66" spans="1:14" x14ac:dyDescent="0.2">
      <c r="A66" s="29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</row>
    <row r="67" spans="1:14" x14ac:dyDescent="0.2">
      <c r="A67" s="29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</row>
    <row r="68" spans="1:14" x14ac:dyDescent="0.2">
      <c r="A68" s="29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</row>
    <row r="69" spans="1:14" x14ac:dyDescent="0.2">
      <c r="A69" s="29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</row>
    <row r="70" spans="1:14" x14ac:dyDescent="0.2">
      <c r="A70" s="29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</row>
    <row r="71" spans="1:14" x14ac:dyDescent="0.2">
      <c r="A71" s="29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</row>
    <row r="72" spans="1:14" x14ac:dyDescent="0.2">
      <c r="A72" s="29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</row>
    <row r="73" spans="1:14" x14ac:dyDescent="0.2">
      <c r="A73" s="29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</row>
    <row r="74" spans="1:14" x14ac:dyDescent="0.2">
      <c r="A74" s="29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</row>
    <row r="75" spans="1:14" x14ac:dyDescent="0.2">
      <c r="A75" s="29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</row>
    <row r="76" spans="1:14" x14ac:dyDescent="0.2">
      <c r="A76" s="29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</row>
    <row r="77" spans="1:14" x14ac:dyDescent="0.2">
      <c r="A77" s="29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</row>
    <row r="78" spans="1:14" x14ac:dyDescent="0.2">
      <c r="A78" s="29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</row>
    <row r="79" spans="1:14" x14ac:dyDescent="0.2">
      <c r="A79" s="29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</row>
    <row r="80" spans="1:14" x14ac:dyDescent="0.2">
      <c r="A80" s="29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</row>
    <row r="81" spans="1:14" x14ac:dyDescent="0.2">
      <c r="A81" s="29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</row>
    <row r="82" spans="1:14" x14ac:dyDescent="0.2">
      <c r="A82" s="29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</row>
    <row r="83" spans="1:14" x14ac:dyDescent="0.2">
      <c r="A83" s="29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</row>
    <row r="84" spans="1:14" x14ac:dyDescent="0.2">
      <c r="A84" s="29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</row>
    <row r="85" spans="1:14" x14ac:dyDescent="0.2">
      <c r="A85" s="29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</row>
    <row r="86" spans="1:14" x14ac:dyDescent="0.2">
      <c r="A86" s="29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1:14" x14ac:dyDescent="0.2">
      <c r="A87" s="57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</row>
    <row r="88" spans="1:14" x14ac:dyDescent="0.2">
      <c r="A88" s="23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</row>
    <row r="89" spans="1:14" x14ac:dyDescent="0.2">
      <c r="A89" s="23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</row>
    <row r="90" spans="1:14" x14ac:dyDescent="0.2">
      <c r="A90" s="23"/>
    </row>
    <row r="91" spans="1:14" x14ac:dyDescent="0.2">
      <c r="A91" s="23"/>
    </row>
    <row r="92" spans="1:14" x14ac:dyDescent="0.2">
      <c r="A92" s="23"/>
    </row>
    <row r="93" spans="1:14" x14ac:dyDescent="0.2">
      <c r="A93" s="23"/>
    </row>
    <row r="94" spans="1:14" x14ac:dyDescent="0.2">
      <c r="A94" s="23"/>
    </row>
    <row r="95" spans="1:14" x14ac:dyDescent="0.2">
      <c r="A95" s="23"/>
    </row>
    <row r="96" spans="1:14" x14ac:dyDescent="0.2">
      <c r="A96" s="23"/>
    </row>
    <row r="97" spans="1:1" x14ac:dyDescent="0.2">
      <c r="A97" s="23"/>
    </row>
    <row r="98" spans="1:1" x14ac:dyDescent="0.2">
      <c r="A98" s="23"/>
    </row>
    <row r="99" spans="1:1" x14ac:dyDescent="0.2">
      <c r="A99" s="23"/>
    </row>
    <row r="100" spans="1:1" x14ac:dyDescent="0.2">
      <c r="A100" s="23"/>
    </row>
    <row r="101" spans="1:1" x14ac:dyDescent="0.2">
      <c r="A101" s="23"/>
    </row>
    <row r="102" spans="1:1" x14ac:dyDescent="0.2">
      <c r="A102" s="23"/>
    </row>
    <row r="103" spans="1:1" x14ac:dyDescent="0.2">
      <c r="A103" s="23"/>
    </row>
    <row r="104" spans="1:1" x14ac:dyDescent="0.2">
      <c r="A104" s="23"/>
    </row>
    <row r="105" spans="1:1" x14ac:dyDescent="0.2">
      <c r="A105" s="23"/>
    </row>
    <row r="106" spans="1:1" x14ac:dyDescent="0.2">
      <c r="A106" s="23"/>
    </row>
    <row r="107" spans="1:1" x14ac:dyDescent="0.2">
      <c r="A107" s="23"/>
    </row>
    <row r="108" spans="1:1" ht="13.5" thickBot="1" x14ac:dyDescent="0.25">
      <c r="A108" s="26"/>
    </row>
    <row r="109" spans="1:1" ht="13.5" thickTop="1" x14ac:dyDescent="0.2">
      <c r="A109" s="29"/>
    </row>
    <row r="110" spans="1:1" x14ac:dyDescent="0.2">
      <c r="A110" s="29"/>
    </row>
    <row r="111" spans="1:1" x14ac:dyDescent="0.2">
      <c r="A111" s="5"/>
    </row>
    <row r="112" spans="1:1" x14ac:dyDescent="0.2">
      <c r="A112" s="5"/>
    </row>
    <row r="113" spans="1:1" x14ac:dyDescent="0.2">
      <c r="A113" s="5"/>
    </row>
    <row r="114" spans="1:1" x14ac:dyDescent="0.2">
      <c r="A114" s="5"/>
    </row>
    <row r="115" spans="1:1" x14ac:dyDescent="0.2">
      <c r="A115" s="5"/>
    </row>
    <row r="116" spans="1:1" x14ac:dyDescent="0.2">
      <c r="A116" s="5"/>
    </row>
    <row r="117" spans="1:1" x14ac:dyDescent="0.2">
      <c r="A117" s="5"/>
    </row>
    <row r="118" spans="1:1" x14ac:dyDescent="0.2">
      <c r="A118" s="5"/>
    </row>
    <row r="119" spans="1:1" x14ac:dyDescent="0.2">
      <c r="A119" s="5"/>
    </row>
    <row r="120" spans="1:1" x14ac:dyDescent="0.2">
      <c r="A120" s="5"/>
    </row>
    <row r="121" spans="1:1" x14ac:dyDescent="0.2">
      <c r="A121" s="5"/>
    </row>
    <row r="122" spans="1:1" x14ac:dyDescent="0.2">
      <c r="A122" s="5"/>
    </row>
    <row r="123" spans="1:1" x14ac:dyDescent="0.2">
      <c r="A123" s="5"/>
    </row>
    <row r="124" spans="1:1" x14ac:dyDescent="0.2">
      <c r="A124" s="5"/>
    </row>
    <row r="125" spans="1:1" x14ac:dyDescent="0.2">
      <c r="A125" s="5"/>
    </row>
    <row r="126" spans="1:1" x14ac:dyDescent="0.2">
      <c r="A126" s="5"/>
    </row>
    <row r="127" spans="1:1" x14ac:dyDescent="0.2">
      <c r="A127" s="5"/>
    </row>
    <row r="128" spans="1:1" x14ac:dyDescent="0.2">
      <c r="A128" s="5"/>
    </row>
    <row r="129" spans="1:1" x14ac:dyDescent="0.2">
      <c r="A129" s="5"/>
    </row>
    <row r="130" spans="1:1" x14ac:dyDescent="0.2">
      <c r="A130" s="5"/>
    </row>
    <row r="131" spans="1:1" x14ac:dyDescent="0.2">
      <c r="A131" s="5"/>
    </row>
    <row r="132" spans="1:1" x14ac:dyDescent="0.2">
      <c r="A132" s="5"/>
    </row>
    <row r="133" spans="1:1" x14ac:dyDescent="0.2">
      <c r="A133" s="5"/>
    </row>
    <row r="134" spans="1:1" x14ac:dyDescent="0.2">
      <c r="A134" s="5"/>
    </row>
    <row r="135" spans="1:1" x14ac:dyDescent="0.2">
      <c r="A135" s="5"/>
    </row>
    <row r="136" spans="1:1" x14ac:dyDescent="0.2">
      <c r="A136" s="5"/>
    </row>
    <row r="137" spans="1:1" x14ac:dyDescent="0.2">
      <c r="A137" s="5"/>
    </row>
    <row r="138" spans="1:1" x14ac:dyDescent="0.2">
      <c r="A138" s="5"/>
    </row>
    <row r="139" spans="1:1" x14ac:dyDescent="0.2">
      <c r="A139" s="5"/>
    </row>
    <row r="140" spans="1:1" x14ac:dyDescent="0.2">
      <c r="A140" s="5"/>
    </row>
    <row r="141" spans="1:1" x14ac:dyDescent="0.2">
      <c r="A141" s="5"/>
    </row>
    <row r="142" spans="1:1" x14ac:dyDescent="0.2">
      <c r="A142" s="5"/>
    </row>
    <row r="143" spans="1:1" x14ac:dyDescent="0.2">
      <c r="A143" s="5"/>
    </row>
    <row r="144" spans="1:1" x14ac:dyDescent="0.2">
      <c r="A144" s="5"/>
    </row>
    <row r="145" spans="1:1" x14ac:dyDescent="0.2">
      <c r="A145" s="5"/>
    </row>
    <row r="146" spans="1:1" x14ac:dyDescent="0.2">
      <c r="A146" s="5"/>
    </row>
    <row r="147" spans="1:1" x14ac:dyDescent="0.2">
      <c r="A147" s="5"/>
    </row>
    <row r="148" spans="1:1" x14ac:dyDescent="0.2">
      <c r="A148" s="5"/>
    </row>
    <row r="149" spans="1:1" x14ac:dyDescent="0.2">
      <c r="A149" s="5"/>
    </row>
    <row r="150" spans="1:1" x14ac:dyDescent="0.2">
      <c r="A150" s="5"/>
    </row>
    <row r="151" spans="1:1" x14ac:dyDescent="0.2">
      <c r="A151" s="5"/>
    </row>
    <row r="152" spans="1:1" x14ac:dyDescent="0.2">
      <c r="A152" s="5"/>
    </row>
    <row r="153" spans="1:1" x14ac:dyDescent="0.2">
      <c r="A153" s="5"/>
    </row>
    <row r="154" spans="1:1" x14ac:dyDescent="0.2">
      <c r="A154" s="5"/>
    </row>
    <row r="155" spans="1:1" x14ac:dyDescent="0.2">
      <c r="A155" s="5"/>
    </row>
    <row r="156" spans="1:1" x14ac:dyDescent="0.2">
      <c r="A156" s="5"/>
    </row>
    <row r="157" spans="1:1" x14ac:dyDescent="0.2">
      <c r="A157" s="5"/>
    </row>
    <row r="158" spans="1:1" x14ac:dyDescent="0.2">
      <c r="A158" s="5"/>
    </row>
    <row r="159" spans="1:1" x14ac:dyDescent="0.2">
      <c r="A159" s="5"/>
    </row>
    <row r="160" spans="1:1" x14ac:dyDescent="0.2">
      <c r="A160" s="5"/>
    </row>
  </sheetData>
  <pageMargins left="0.7" right="0.7" top="0.75" bottom="0.3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D41"/>
  <sheetViews>
    <sheetView topLeftCell="A4" workbookViewId="0">
      <selection activeCell="B11" sqref="B11"/>
    </sheetView>
  </sheetViews>
  <sheetFormatPr defaultRowHeight="12.75" x14ac:dyDescent="0.2"/>
  <cols>
    <col min="1" max="1" width="11" style="3" bestFit="1" customWidth="1"/>
    <col min="2" max="2" width="10.7109375" style="3" bestFit="1" customWidth="1"/>
    <col min="3" max="3" width="63.7109375" style="32" bestFit="1" customWidth="1"/>
    <col min="4" max="256" width="8.85546875" style="3"/>
    <col min="257" max="257" width="11" style="3" bestFit="1" customWidth="1"/>
    <col min="258" max="258" width="10.7109375" style="3" bestFit="1" customWidth="1"/>
    <col min="259" max="259" width="63.7109375" style="3" bestFit="1" customWidth="1"/>
    <col min="260" max="512" width="8.85546875" style="3"/>
    <col min="513" max="513" width="11" style="3" bestFit="1" customWidth="1"/>
    <col min="514" max="514" width="10.7109375" style="3" bestFit="1" customWidth="1"/>
    <col min="515" max="515" width="63.7109375" style="3" bestFit="1" customWidth="1"/>
    <col min="516" max="768" width="8.85546875" style="3"/>
    <col min="769" max="769" width="11" style="3" bestFit="1" customWidth="1"/>
    <col min="770" max="770" width="10.7109375" style="3" bestFit="1" customWidth="1"/>
    <col min="771" max="771" width="63.7109375" style="3" bestFit="1" customWidth="1"/>
    <col min="772" max="1024" width="8.85546875" style="3"/>
    <col min="1025" max="1025" width="11" style="3" bestFit="1" customWidth="1"/>
    <col min="1026" max="1026" width="10.7109375" style="3" bestFit="1" customWidth="1"/>
    <col min="1027" max="1027" width="63.7109375" style="3" bestFit="1" customWidth="1"/>
    <col min="1028" max="1280" width="8.85546875" style="3"/>
    <col min="1281" max="1281" width="11" style="3" bestFit="1" customWidth="1"/>
    <col min="1282" max="1282" width="10.7109375" style="3" bestFit="1" customWidth="1"/>
    <col min="1283" max="1283" width="63.7109375" style="3" bestFit="1" customWidth="1"/>
    <col min="1284" max="1536" width="8.85546875" style="3"/>
    <col min="1537" max="1537" width="11" style="3" bestFit="1" customWidth="1"/>
    <col min="1538" max="1538" width="10.7109375" style="3" bestFit="1" customWidth="1"/>
    <col min="1539" max="1539" width="63.7109375" style="3" bestFit="1" customWidth="1"/>
    <col min="1540" max="1792" width="8.85546875" style="3"/>
    <col min="1793" max="1793" width="11" style="3" bestFit="1" customWidth="1"/>
    <col min="1794" max="1794" width="10.7109375" style="3" bestFit="1" customWidth="1"/>
    <col min="1795" max="1795" width="63.7109375" style="3" bestFit="1" customWidth="1"/>
    <col min="1796" max="2048" width="8.85546875" style="3"/>
    <col min="2049" max="2049" width="11" style="3" bestFit="1" customWidth="1"/>
    <col min="2050" max="2050" width="10.7109375" style="3" bestFit="1" customWidth="1"/>
    <col min="2051" max="2051" width="63.7109375" style="3" bestFit="1" customWidth="1"/>
    <col min="2052" max="2304" width="8.85546875" style="3"/>
    <col min="2305" max="2305" width="11" style="3" bestFit="1" customWidth="1"/>
    <col min="2306" max="2306" width="10.7109375" style="3" bestFit="1" customWidth="1"/>
    <col min="2307" max="2307" width="63.7109375" style="3" bestFit="1" customWidth="1"/>
    <col min="2308" max="2560" width="8.85546875" style="3"/>
    <col min="2561" max="2561" width="11" style="3" bestFit="1" customWidth="1"/>
    <col min="2562" max="2562" width="10.7109375" style="3" bestFit="1" customWidth="1"/>
    <col min="2563" max="2563" width="63.7109375" style="3" bestFit="1" customWidth="1"/>
    <col min="2564" max="2816" width="8.85546875" style="3"/>
    <col min="2817" max="2817" width="11" style="3" bestFit="1" customWidth="1"/>
    <col min="2818" max="2818" width="10.7109375" style="3" bestFit="1" customWidth="1"/>
    <col min="2819" max="2819" width="63.7109375" style="3" bestFit="1" customWidth="1"/>
    <col min="2820" max="3072" width="8.85546875" style="3"/>
    <col min="3073" max="3073" width="11" style="3" bestFit="1" customWidth="1"/>
    <col min="3074" max="3074" width="10.7109375" style="3" bestFit="1" customWidth="1"/>
    <col min="3075" max="3075" width="63.7109375" style="3" bestFit="1" customWidth="1"/>
    <col min="3076" max="3328" width="8.85546875" style="3"/>
    <col min="3329" max="3329" width="11" style="3" bestFit="1" customWidth="1"/>
    <col min="3330" max="3330" width="10.7109375" style="3" bestFit="1" customWidth="1"/>
    <col min="3331" max="3331" width="63.7109375" style="3" bestFit="1" customWidth="1"/>
    <col min="3332" max="3584" width="8.85546875" style="3"/>
    <col min="3585" max="3585" width="11" style="3" bestFit="1" customWidth="1"/>
    <col min="3586" max="3586" width="10.7109375" style="3" bestFit="1" customWidth="1"/>
    <col min="3587" max="3587" width="63.7109375" style="3" bestFit="1" customWidth="1"/>
    <col min="3588" max="3840" width="8.85546875" style="3"/>
    <col min="3841" max="3841" width="11" style="3" bestFit="1" customWidth="1"/>
    <col min="3842" max="3842" width="10.7109375" style="3" bestFit="1" customWidth="1"/>
    <col min="3843" max="3843" width="63.7109375" style="3" bestFit="1" customWidth="1"/>
    <col min="3844" max="4096" width="8.85546875" style="3"/>
    <col min="4097" max="4097" width="11" style="3" bestFit="1" customWidth="1"/>
    <col min="4098" max="4098" width="10.7109375" style="3" bestFit="1" customWidth="1"/>
    <col min="4099" max="4099" width="63.7109375" style="3" bestFit="1" customWidth="1"/>
    <col min="4100" max="4352" width="8.85546875" style="3"/>
    <col min="4353" max="4353" width="11" style="3" bestFit="1" customWidth="1"/>
    <col min="4354" max="4354" width="10.7109375" style="3" bestFit="1" customWidth="1"/>
    <col min="4355" max="4355" width="63.7109375" style="3" bestFit="1" customWidth="1"/>
    <col min="4356" max="4608" width="8.85546875" style="3"/>
    <col min="4609" max="4609" width="11" style="3" bestFit="1" customWidth="1"/>
    <col min="4610" max="4610" width="10.7109375" style="3" bestFit="1" customWidth="1"/>
    <col min="4611" max="4611" width="63.7109375" style="3" bestFit="1" customWidth="1"/>
    <col min="4612" max="4864" width="8.85546875" style="3"/>
    <col min="4865" max="4865" width="11" style="3" bestFit="1" customWidth="1"/>
    <col min="4866" max="4866" width="10.7109375" style="3" bestFit="1" customWidth="1"/>
    <col min="4867" max="4867" width="63.7109375" style="3" bestFit="1" customWidth="1"/>
    <col min="4868" max="5120" width="8.85546875" style="3"/>
    <col min="5121" max="5121" width="11" style="3" bestFit="1" customWidth="1"/>
    <col min="5122" max="5122" width="10.7109375" style="3" bestFit="1" customWidth="1"/>
    <col min="5123" max="5123" width="63.7109375" style="3" bestFit="1" customWidth="1"/>
    <col min="5124" max="5376" width="8.85546875" style="3"/>
    <col min="5377" max="5377" width="11" style="3" bestFit="1" customWidth="1"/>
    <col min="5378" max="5378" width="10.7109375" style="3" bestFit="1" customWidth="1"/>
    <col min="5379" max="5379" width="63.7109375" style="3" bestFit="1" customWidth="1"/>
    <col min="5380" max="5632" width="8.85546875" style="3"/>
    <col min="5633" max="5633" width="11" style="3" bestFit="1" customWidth="1"/>
    <col min="5634" max="5634" width="10.7109375" style="3" bestFit="1" customWidth="1"/>
    <col min="5635" max="5635" width="63.7109375" style="3" bestFit="1" customWidth="1"/>
    <col min="5636" max="5888" width="8.85546875" style="3"/>
    <col min="5889" max="5889" width="11" style="3" bestFit="1" customWidth="1"/>
    <col min="5890" max="5890" width="10.7109375" style="3" bestFit="1" customWidth="1"/>
    <col min="5891" max="5891" width="63.7109375" style="3" bestFit="1" customWidth="1"/>
    <col min="5892" max="6144" width="8.85546875" style="3"/>
    <col min="6145" max="6145" width="11" style="3" bestFit="1" customWidth="1"/>
    <col min="6146" max="6146" width="10.7109375" style="3" bestFit="1" customWidth="1"/>
    <col min="6147" max="6147" width="63.7109375" style="3" bestFit="1" customWidth="1"/>
    <col min="6148" max="6400" width="8.85546875" style="3"/>
    <col min="6401" max="6401" width="11" style="3" bestFit="1" customWidth="1"/>
    <col min="6402" max="6402" width="10.7109375" style="3" bestFit="1" customWidth="1"/>
    <col min="6403" max="6403" width="63.7109375" style="3" bestFit="1" customWidth="1"/>
    <col min="6404" max="6656" width="8.85546875" style="3"/>
    <col min="6657" max="6657" width="11" style="3" bestFit="1" customWidth="1"/>
    <col min="6658" max="6658" width="10.7109375" style="3" bestFit="1" customWidth="1"/>
    <col min="6659" max="6659" width="63.7109375" style="3" bestFit="1" customWidth="1"/>
    <col min="6660" max="6912" width="8.85546875" style="3"/>
    <col min="6913" max="6913" width="11" style="3" bestFit="1" customWidth="1"/>
    <col min="6914" max="6914" width="10.7109375" style="3" bestFit="1" customWidth="1"/>
    <col min="6915" max="6915" width="63.7109375" style="3" bestFit="1" customWidth="1"/>
    <col min="6916" max="7168" width="8.85546875" style="3"/>
    <col min="7169" max="7169" width="11" style="3" bestFit="1" customWidth="1"/>
    <col min="7170" max="7170" width="10.7109375" style="3" bestFit="1" customWidth="1"/>
    <col min="7171" max="7171" width="63.7109375" style="3" bestFit="1" customWidth="1"/>
    <col min="7172" max="7424" width="8.85546875" style="3"/>
    <col min="7425" max="7425" width="11" style="3" bestFit="1" customWidth="1"/>
    <col min="7426" max="7426" width="10.7109375" style="3" bestFit="1" customWidth="1"/>
    <col min="7427" max="7427" width="63.7109375" style="3" bestFit="1" customWidth="1"/>
    <col min="7428" max="7680" width="8.85546875" style="3"/>
    <col min="7681" max="7681" width="11" style="3" bestFit="1" customWidth="1"/>
    <col min="7682" max="7682" width="10.7109375" style="3" bestFit="1" customWidth="1"/>
    <col min="7683" max="7683" width="63.7109375" style="3" bestFit="1" customWidth="1"/>
    <col min="7684" max="7936" width="8.85546875" style="3"/>
    <col min="7937" max="7937" width="11" style="3" bestFit="1" customWidth="1"/>
    <col min="7938" max="7938" width="10.7109375" style="3" bestFit="1" customWidth="1"/>
    <col min="7939" max="7939" width="63.7109375" style="3" bestFit="1" customWidth="1"/>
    <col min="7940" max="8192" width="8.85546875" style="3"/>
    <col min="8193" max="8193" width="11" style="3" bestFit="1" customWidth="1"/>
    <col min="8194" max="8194" width="10.7109375" style="3" bestFit="1" customWidth="1"/>
    <col min="8195" max="8195" width="63.7109375" style="3" bestFit="1" customWidth="1"/>
    <col min="8196" max="8448" width="8.85546875" style="3"/>
    <col min="8449" max="8449" width="11" style="3" bestFit="1" customWidth="1"/>
    <col min="8450" max="8450" width="10.7109375" style="3" bestFit="1" customWidth="1"/>
    <col min="8451" max="8451" width="63.7109375" style="3" bestFit="1" customWidth="1"/>
    <col min="8452" max="8704" width="8.85546875" style="3"/>
    <col min="8705" max="8705" width="11" style="3" bestFit="1" customWidth="1"/>
    <col min="8706" max="8706" width="10.7109375" style="3" bestFit="1" customWidth="1"/>
    <col min="8707" max="8707" width="63.7109375" style="3" bestFit="1" customWidth="1"/>
    <col min="8708" max="8960" width="8.85546875" style="3"/>
    <col min="8961" max="8961" width="11" style="3" bestFit="1" customWidth="1"/>
    <col min="8962" max="8962" width="10.7109375" style="3" bestFit="1" customWidth="1"/>
    <col min="8963" max="8963" width="63.7109375" style="3" bestFit="1" customWidth="1"/>
    <col min="8964" max="9216" width="8.85546875" style="3"/>
    <col min="9217" max="9217" width="11" style="3" bestFit="1" customWidth="1"/>
    <col min="9218" max="9218" width="10.7109375" style="3" bestFit="1" customWidth="1"/>
    <col min="9219" max="9219" width="63.7109375" style="3" bestFit="1" customWidth="1"/>
    <col min="9220" max="9472" width="8.85546875" style="3"/>
    <col min="9473" max="9473" width="11" style="3" bestFit="1" customWidth="1"/>
    <col min="9474" max="9474" width="10.7109375" style="3" bestFit="1" customWidth="1"/>
    <col min="9475" max="9475" width="63.7109375" style="3" bestFit="1" customWidth="1"/>
    <col min="9476" max="9728" width="8.85546875" style="3"/>
    <col min="9729" max="9729" width="11" style="3" bestFit="1" customWidth="1"/>
    <col min="9730" max="9730" width="10.7109375" style="3" bestFit="1" customWidth="1"/>
    <col min="9731" max="9731" width="63.7109375" style="3" bestFit="1" customWidth="1"/>
    <col min="9732" max="9984" width="8.85546875" style="3"/>
    <col min="9985" max="9985" width="11" style="3" bestFit="1" customWidth="1"/>
    <col min="9986" max="9986" width="10.7109375" style="3" bestFit="1" customWidth="1"/>
    <col min="9987" max="9987" width="63.7109375" style="3" bestFit="1" customWidth="1"/>
    <col min="9988" max="10240" width="8.85546875" style="3"/>
    <col min="10241" max="10241" width="11" style="3" bestFit="1" customWidth="1"/>
    <col min="10242" max="10242" width="10.7109375" style="3" bestFit="1" customWidth="1"/>
    <col min="10243" max="10243" width="63.7109375" style="3" bestFit="1" customWidth="1"/>
    <col min="10244" max="10496" width="8.85546875" style="3"/>
    <col min="10497" max="10497" width="11" style="3" bestFit="1" customWidth="1"/>
    <col min="10498" max="10498" width="10.7109375" style="3" bestFit="1" customWidth="1"/>
    <col min="10499" max="10499" width="63.7109375" style="3" bestFit="1" customWidth="1"/>
    <col min="10500" max="10752" width="8.85546875" style="3"/>
    <col min="10753" max="10753" width="11" style="3" bestFit="1" customWidth="1"/>
    <col min="10754" max="10754" width="10.7109375" style="3" bestFit="1" customWidth="1"/>
    <col min="10755" max="10755" width="63.7109375" style="3" bestFit="1" customWidth="1"/>
    <col min="10756" max="11008" width="8.85546875" style="3"/>
    <col min="11009" max="11009" width="11" style="3" bestFit="1" customWidth="1"/>
    <col min="11010" max="11010" width="10.7109375" style="3" bestFit="1" customWidth="1"/>
    <col min="11011" max="11011" width="63.7109375" style="3" bestFit="1" customWidth="1"/>
    <col min="11012" max="11264" width="8.85546875" style="3"/>
    <col min="11265" max="11265" width="11" style="3" bestFit="1" customWidth="1"/>
    <col min="11266" max="11266" width="10.7109375" style="3" bestFit="1" customWidth="1"/>
    <col min="11267" max="11267" width="63.7109375" style="3" bestFit="1" customWidth="1"/>
    <col min="11268" max="11520" width="8.85546875" style="3"/>
    <col min="11521" max="11521" width="11" style="3" bestFit="1" customWidth="1"/>
    <col min="11522" max="11522" width="10.7109375" style="3" bestFit="1" customWidth="1"/>
    <col min="11523" max="11523" width="63.7109375" style="3" bestFit="1" customWidth="1"/>
    <col min="11524" max="11776" width="8.85546875" style="3"/>
    <col min="11777" max="11777" width="11" style="3" bestFit="1" customWidth="1"/>
    <col min="11778" max="11778" width="10.7109375" style="3" bestFit="1" customWidth="1"/>
    <col min="11779" max="11779" width="63.7109375" style="3" bestFit="1" customWidth="1"/>
    <col min="11780" max="12032" width="8.85546875" style="3"/>
    <col min="12033" max="12033" width="11" style="3" bestFit="1" customWidth="1"/>
    <col min="12034" max="12034" width="10.7109375" style="3" bestFit="1" customWidth="1"/>
    <col min="12035" max="12035" width="63.7109375" style="3" bestFit="1" customWidth="1"/>
    <col min="12036" max="12288" width="8.85546875" style="3"/>
    <col min="12289" max="12289" width="11" style="3" bestFit="1" customWidth="1"/>
    <col min="12290" max="12290" width="10.7109375" style="3" bestFit="1" customWidth="1"/>
    <col min="12291" max="12291" width="63.7109375" style="3" bestFit="1" customWidth="1"/>
    <col min="12292" max="12544" width="8.85546875" style="3"/>
    <col min="12545" max="12545" width="11" style="3" bestFit="1" customWidth="1"/>
    <col min="12546" max="12546" width="10.7109375" style="3" bestFit="1" customWidth="1"/>
    <col min="12547" max="12547" width="63.7109375" style="3" bestFit="1" customWidth="1"/>
    <col min="12548" max="12800" width="8.85546875" style="3"/>
    <col min="12801" max="12801" width="11" style="3" bestFit="1" customWidth="1"/>
    <col min="12802" max="12802" width="10.7109375" style="3" bestFit="1" customWidth="1"/>
    <col min="12803" max="12803" width="63.7109375" style="3" bestFit="1" customWidth="1"/>
    <col min="12804" max="13056" width="8.85546875" style="3"/>
    <col min="13057" max="13057" width="11" style="3" bestFit="1" customWidth="1"/>
    <col min="13058" max="13058" width="10.7109375" style="3" bestFit="1" customWidth="1"/>
    <col min="13059" max="13059" width="63.7109375" style="3" bestFit="1" customWidth="1"/>
    <col min="13060" max="13312" width="8.85546875" style="3"/>
    <col min="13313" max="13313" width="11" style="3" bestFit="1" customWidth="1"/>
    <col min="13314" max="13314" width="10.7109375" style="3" bestFit="1" customWidth="1"/>
    <col min="13315" max="13315" width="63.7109375" style="3" bestFit="1" customWidth="1"/>
    <col min="13316" max="13568" width="8.85546875" style="3"/>
    <col min="13569" max="13569" width="11" style="3" bestFit="1" customWidth="1"/>
    <col min="13570" max="13570" width="10.7109375" style="3" bestFit="1" customWidth="1"/>
    <col min="13571" max="13571" width="63.7109375" style="3" bestFit="1" customWidth="1"/>
    <col min="13572" max="13824" width="8.85546875" style="3"/>
    <col min="13825" max="13825" width="11" style="3" bestFit="1" customWidth="1"/>
    <col min="13826" max="13826" width="10.7109375" style="3" bestFit="1" customWidth="1"/>
    <col min="13827" max="13827" width="63.7109375" style="3" bestFit="1" customWidth="1"/>
    <col min="13828" max="14080" width="8.85546875" style="3"/>
    <col min="14081" max="14081" width="11" style="3" bestFit="1" customWidth="1"/>
    <col min="14082" max="14082" width="10.7109375" style="3" bestFit="1" customWidth="1"/>
    <col min="14083" max="14083" width="63.7109375" style="3" bestFit="1" customWidth="1"/>
    <col min="14084" max="14336" width="8.85546875" style="3"/>
    <col min="14337" max="14337" width="11" style="3" bestFit="1" customWidth="1"/>
    <col min="14338" max="14338" width="10.7109375" style="3" bestFit="1" customWidth="1"/>
    <col min="14339" max="14339" width="63.7109375" style="3" bestFit="1" customWidth="1"/>
    <col min="14340" max="14592" width="8.85546875" style="3"/>
    <col min="14593" max="14593" width="11" style="3" bestFit="1" customWidth="1"/>
    <col min="14594" max="14594" width="10.7109375" style="3" bestFit="1" customWidth="1"/>
    <col min="14595" max="14595" width="63.7109375" style="3" bestFit="1" customWidth="1"/>
    <col min="14596" max="14848" width="8.85546875" style="3"/>
    <col min="14849" max="14849" width="11" style="3" bestFit="1" customWidth="1"/>
    <col min="14850" max="14850" width="10.7109375" style="3" bestFit="1" customWidth="1"/>
    <col min="14851" max="14851" width="63.7109375" style="3" bestFit="1" customWidth="1"/>
    <col min="14852" max="15104" width="8.85546875" style="3"/>
    <col min="15105" max="15105" width="11" style="3" bestFit="1" customWidth="1"/>
    <col min="15106" max="15106" width="10.7109375" style="3" bestFit="1" customWidth="1"/>
    <col min="15107" max="15107" width="63.7109375" style="3" bestFit="1" customWidth="1"/>
    <col min="15108" max="15360" width="8.85546875" style="3"/>
    <col min="15361" max="15361" width="11" style="3" bestFit="1" customWidth="1"/>
    <col min="15362" max="15362" width="10.7109375" style="3" bestFit="1" customWidth="1"/>
    <col min="15363" max="15363" width="63.7109375" style="3" bestFit="1" customWidth="1"/>
    <col min="15364" max="15616" width="8.85546875" style="3"/>
    <col min="15617" max="15617" width="11" style="3" bestFit="1" customWidth="1"/>
    <col min="15618" max="15618" width="10.7109375" style="3" bestFit="1" customWidth="1"/>
    <col min="15619" max="15619" width="63.7109375" style="3" bestFit="1" customWidth="1"/>
    <col min="15620" max="15872" width="8.85546875" style="3"/>
    <col min="15873" max="15873" width="11" style="3" bestFit="1" customWidth="1"/>
    <col min="15874" max="15874" width="10.7109375" style="3" bestFit="1" customWidth="1"/>
    <col min="15875" max="15875" width="63.7109375" style="3" bestFit="1" customWidth="1"/>
    <col min="15876" max="16128" width="8.85546875" style="3"/>
    <col min="16129" max="16129" width="11" style="3" bestFit="1" customWidth="1"/>
    <col min="16130" max="16130" width="10.7109375" style="3" bestFit="1" customWidth="1"/>
    <col min="16131" max="16131" width="63.7109375" style="3" bestFit="1" customWidth="1"/>
    <col min="16132" max="16384" width="8.85546875" style="3"/>
  </cols>
  <sheetData>
    <row r="1" spans="1:3" x14ac:dyDescent="0.2">
      <c r="A1" s="3" t="s">
        <v>29</v>
      </c>
    </row>
    <row r="2" spans="1:3" ht="25.5" x14ac:dyDescent="0.2">
      <c r="A2" s="3" t="s">
        <v>30</v>
      </c>
      <c r="B2" s="3" t="s">
        <v>31</v>
      </c>
      <c r="C2" s="32" t="s">
        <v>32</v>
      </c>
    </row>
    <row r="3" spans="1:3" x14ac:dyDescent="0.2">
      <c r="A3" s="3" t="s">
        <v>11</v>
      </c>
      <c r="B3" s="9">
        <v>0.375</v>
      </c>
      <c r="C3" s="32" t="s">
        <v>33</v>
      </c>
    </row>
    <row r="4" spans="1:3" x14ac:dyDescent="0.2">
      <c r="A4" s="3" t="s">
        <v>12</v>
      </c>
      <c r="B4" s="9">
        <v>0.83333333333333337</v>
      </c>
      <c r="C4" s="32" t="s">
        <v>34</v>
      </c>
    </row>
    <row r="5" spans="1:3" x14ac:dyDescent="0.2">
      <c r="A5" s="3" t="s">
        <v>19</v>
      </c>
      <c r="B5" s="33">
        <v>60</v>
      </c>
      <c r="C5" s="32" t="s">
        <v>35</v>
      </c>
    </row>
    <row r="6" spans="1:3" x14ac:dyDescent="0.2">
      <c r="A6" s="3" t="s">
        <v>36</v>
      </c>
      <c r="B6" s="3">
        <v>10</v>
      </c>
      <c r="C6" s="32" t="s">
        <v>37</v>
      </c>
    </row>
    <row r="7" spans="1:3" x14ac:dyDescent="0.2">
      <c r="A7" s="5" t="s">
        <v>38</v>
      </c>
      <c r="B7" s="5">
        <v>10</v>
      </c>
      <c r="C7" s="34" t="s">
        <v>39</v>
      </c>
    </row>
    <row r="8" spans="1:3" ht="38.25" x14ac:dyDescent="0.2">
      <c r="A8" s="4" t="s">
        <v>13</v>
      </c>
      <c r="B8" s="4">
        <v>-1</v>
      </c>
      <c r="C8" s="35" t="s">
        <v>40</v>
      </c>
    </row>
    <row r="9" spans="1:3" x14ac:dyDescent="0.2">
      <c r="A9" s="4" t="s">
        <v>41</v>
      </c>
      <c r="B9" s="4">
        <v>102</v>
      </c>
      <c r="C9" s="35" t="s">
        <v>42</v>
      </c>
    </row>
    <row r="10" spans="1:3" s="8" customFormat="1" ht="13.5" thickBot="1" x14ac:dyDescent="0.25">
      <c r="A10" s="8" t="s">
        <v>43</v>
      </c>
      <c r="B10" s="8" t="s">
        <v>9</v>
      </c>
      <c r="C10" s="36" t="s">
        <v>44</v>
      </c>
    </row>
    <row r="11" spans="1:3" x14ac:dyDescent="0.2">
      <c r="A11" s="3" t="s">
        <v>45</v>
      </c>
      <c r="B11" s="3">
        <v>3.1</v>
      </c>
    </row>
    <row r="13" spans="1:3" ht="38.25" x14ac:dyDescent="0.2">
      <c r="C13" s="32" t="s">
        <v>46</v>
      </c>
    </row>
    <row r="14" spans="1:3" ht="25.5" x14ac:dyDescent="0.2">
      <c r="C14" s="32" t="s">
        <v>47</v>
      </c>
    </row>
    <row r="15" spans="1:3" x14ac:dyDescent="0.2">
      <c r="C15" s="32" t="s">
        <v>48</v>
      </c>
    </row>
    <row r="16" spans="1:3" x14ac:dyDescent="0.2">
      <c r="C16" s="32" t="s">
        <v>49</v>
      </c>
    </row>
    <row r="17" spans="3:4" x14ac:dyDescent="0.2">
      <c r="C17" s="32" t="s">
        <v>50</v>
      </c>
    </row>
    <row r="18" spans="3:4" x14ac:dyDescent="0.2">
      <c r="C18" s="32" t="s">
        <v>51</v>
      </c>
    </row>
    <row r="19" spans="3:4" x14ac:dyDescent="0.2">
      <c r="C19" s="32" t="s">
        <v>52</v>
      </c>
    </row>
    <row r="20" spans="3:4" x14ac:dyDescent="0.2">
      <c r="C20" s="32" t="s">
        <v>53</v>
      </c>
    </row>
    <row r="21" spans="3:4" ht="25.5" x14ac:dyDescent="0.2">
      <c r="C21" s="32" t="s">
        <v>54</v>
      </c>
    </row>
    <row r="22" spans="3:4" x14ac:dyDescent="0.2">
      <c r="C22" s="32" t="s">
        <v>55</v>
      </c>
    </row>
    <row r="23" spans="3:4" x14ac:dyDescent="0.2">
      <c r="C23" s="32" t="s">
        <v>56</v>
      </c>
    </row>
    <row r="24" spans="3:4" x14ac:dyDescent="0.2">
      <c r="C24" s="32" t="s">
        <v>57</v>
      </c>
    </row>
    <row r="25" spans="3:4" x14ac:dyDescent="0.2">
      <c r="C25" s="32" t="s">
        <v>58</v>
      </c>
    </row>
    <row r="26" spans="3:4" ht="25.5" x14ac:dyDescent="0.2">
      <c r="C26" s="32" t="s">
        <v>59</v>
      </c>
      <c r="D26" s="3" t="s">
        <v>60</v>
      </c>
    </row>
    <row r="27" spans="3:4" ht="51" x14ac:dyDescent="0.2">
      <c r="C27" s="32" t="s">
        <v>61</v>
      </c>
    </row>
    <row r="28" spans="3:4" x14ac:dyDescent="0.2">
      <c r="C28" s="32" t="s">
        <v>62</v>
      </c>
    </row>
    <row r="29" spans="3:4" ht="25.5" x14ac:dyDescent="0.2">
      <c r="C29" s="32" t="s">
        <v>63</v>
      </c>
    </row>
    <row r="30" spans="3:4" ht="25.5" x14ac:dyDescent="0.2">
      <c r="C30" s="32" t="s">
        <v>64</v>
      </c>
    </row>
    <row r="31" spans="3:4" x14ac:dyDescent="0.2">
      <c r="C31" s="32" t="s">
        <v>65</v>
      </c>
    </row>
    <row r="32" spans="3:4" x14ac:dyDescent="0.2">
      <c r="C32" s="32" t="s">
        <v>66</v>
      </c>
    </row>
    <row r="33" spans="3:3" x14ac:dyDescent="0.2">
      <c r="C33" s="32" t="s">
        <v>67</v>
      </c>
    </row>
    <row r="34" spans="3:3" ht="25.5" x14ac:dyDescent="0.2">
      <c r="C34" s="32" t="s">
        <v>68</v>
      </c>
    </row>
    <row r="35" spans="3:3" ht="25.5" x14ac:dyDescent="0.2">
      <c r="C35" s="32" t="s">
        <v>69</v>
      </c>
    </row>
    <row r="36" spans="3:3" ht="25.5" x14ac:dyDescent="0.2">
      <c r="C36" s="32" t="s">
        <v>70</v>
      </c>
    </row>
    <row r="37" spans="3:3" x14ac:dyDescent="0.2">
      <c r="C37" s="32" t="s">
        <v>71</v>
      </c>
    </row>
    <row r="38" spans="3:3" x14ac:dyDescent="0.2">
      <c r="C38" s="32" t="s">
        <v>72</v>
      </c>
    </row>
    <row r="39" spans="3:3" x14ac:dyDescent="0.2">
      <c r="C39" s="32" t="s">
        <v>73</v>
      </c>
    </row>
    <row r="40" spans="3:3" x14ac:dyDescent="0.2">
      <c r="C40" s="32" t="s">
        <v>74</v>
      </c>
    </row>
    <row r="41" spans="3:3" x14ac:dyDescent="0.2">
      <c r="C41" s="32" t="s">
        <v>84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2"/>
  <sheetViews>
    <sheetView workbookViewId="0">
      <selection activeCell="O13" sqref="O13"/>
    </sheetView>
  </sheetViews>
  <sheetFormatPr defaultColWidth="8.85546875" defaultRowHeight="12.75" x14ac:dyDescent="0.2"/>
  <cols>
    <col min="1" max="16384" width="8.85546875" style="3"/>
  </cols>
  <sheetData>
    <row r="1" spans="1:12" x14ac:dyDescent="0.2">
      <c r="A1" s="3" t="s">
        <v>75</v>
      </c>
      <c r="B1" s="3" t="s">
        <v>76</v>
      </c>
      <c r="C1" s="3" t="s">
        <v>77</v>
      </c>
      <c r="D1" s="3" t="s">
        <v>78</v>
      </c>
      <c r="E1" s="3" t="s">
        <v>79</v>
      </c>
      <c r="F1" s="3" t="s">
        <v>80</v>
      </c>
    </row>
    <row r="2" spans="1:12" x14ac:dyDescent="0.2">
      <c r="A2" s="3">
        <v>2014</v>
      </c>
      <c r="B2" s="3">
        <v>1</v>
      </c>
      <c r="C2" s="3">
        <v>1</v>
      </c>
      <c r="D2" s="3">
        <v>1</v>
      </c>
      <c r="E2" s="3">
        <v>1</v>
      </c>
      <c r="F2" s="3">
        <v>1</v>
      </c>
    </row>
    <row r="3" spans="1:12" x14ac:dyDescent="0.2">
      <c r="A3" s="3">
        <v>2015</v>
      </c>
      <c r="B3" s="3">
        <v>2</v>
      </c>
      <c r="C3" s="3">
        <v>2</v>
      </c>
      <c r="D3" s="3">
        <v>2</v>
      </c>
      <c r="E3" s="3">
        <v>2</v>
      </c>
      <c r="F3" s="3">
        <v>2</v>
      </c>
    </row>
    <row r="4" spans="1:12" x14ac:dyDescent="0.2">
      <c r="A4" s="3">
        <v>2016</v>
      </c>
      <c r="B4" s="3">
        <v>3</v>
      </c>
      <c r="C4" s="3">
        <v>3</v>
      </c>
      <c r="D4" s="3">
        <v>3</v>
      </c>
      <c r="E4" s="3">
        <v>3</v>
      </c>
      <c r="F4" s="3">
        <v>3</v>
      </c>
    </row>
    <row r="5" spans="1:12" ht="13.5" thickBot="1" x14ac:dyDescent="0.25">
      <c r="A5" s="3">
        <v>2017</v>
      </c>
      <c r="B5" s="3">
        <v>4</v>
      </c>
      <c r="C5" s="3">
        <v>4</v>
      </c>
      <c r="D5" s="3">
        <v>4</v>
      </c>
      <c r="E5" s="3">
        <v>4</v>
      </c>
      <c r="F5" s="3">
        <v>4</v>
      </c>
    </row>
    <row r="6" spans="1:12" x14ac:dyDescent="0.2">
      <c r="A6" s="3">
        <v>2018</v>
      </c>
      <c r="B6" s="3">
        <v>5</v>
      </c>
      <c r="C6" s="3">
        <v>5</v>
      </c>
      <c r="D6" s="3">
        <v>5</v>
      </c>
      <c r="E6" s="3">
        <v>5</v>
      </c>
      <c r="F6" s="3">
        <v>5</v>
      </c>
      <c r="J6" s="37"/>
      <c r="K6" s="38"/>
      <c r="L6" s="39"/>
    </row>
    <row r="7" spans="1:12" x14ac:dyDescent="0.2">
      <c r="A7" s="3">
        <v>2019</v>
      </c>
      <c r="B7" s="3">
        <v>6</v>
      </c>
      <c r="C7" s="3">
        <v>6</v>
      </c>
      <c r="D7" s="3">
        <v>6</v>
      </c>
      <c r="E7" s="3">
        <v>6</v>
      </c>
      <c r="F7" s="3">
        <v>6</v>
      </c>
      <c r="J7" s="40"/>
      <c r="K7" s="5"/>
      <c r="L7" s="41"/>
    </row>
    <row r="8" spans="1:12" x14ac:dyDescent="0.2">
      <c r="A8" s="3">
        <v>2020</v>
      </c>
      <c r="B8" s="3">
        <v>7</v>
      </c>
      <c r="C8" s="3">
        <v>7</v>
      </c>
      <c r="D8" s="3">
        <v>7</v>
      </c>
      <c r="E8" s="3">
        <v>7</v>
      </c>
      <c r="F8" s="3">
        <v>7</v>
      </c>
      <c r="J8" s="40"/>
      <c r="K8" s="5"/>
      <c r="L8" s="41"/>
    </row>
    <row r="9" spans="1:12" x14ac:dyDescent="0.2">
      <c r="A9" s="3">
        <v>2021</v>
      </c>
      <c r="B9" s="3">
        <v>8</v>
      </c>
      <c r="C9" s="3">
        <v>8</v>
      </c>
      <c r="D9" s="3">
        <v>8</v>
      </c>
      <c r="E9" s="3">
        <v>8</v>
      </c>
      <c r="F9" s="3">
        <v>8</v>
      </c>
      <c r="J9" s="40"/>
      <c r="K9" s="5"/>
      <c r="L9" s="41"/>
    </row>
    <row r="10" spans="1:12" x14ac:dyDescent="0.2">
      <c r="A10" s="3">
        <v>2022</v>
      </c>
      <c r="B10" s="3">
        <v>9</v>
      </c>
      <c r="C10" s="3">
        <v>9</v>
      </c>
      <c r="D10" s="3">
        <v>9</v>
      </c>
      <c r="E10" s="3">
        <v>9</v>
      </c>
      <c r="F10" s="3">
        <v>9</v>
      </c>
      <c r="J10" s="40"/>
      <c r="K10" s="5"/>
      <c r="L10" s="41"/>
    </row>
    <row r="11" spans="1:12" x14ac:dyDescent="0.2">
      <c r="A11" s="3">
        <v>2023</v>
      </c>
      <c r="B11" s="3">
        <v>10</v>
      </c>
      <c r="C11" s="3">
        <v>10</v>
      </c>
      <c r="D11" s="3">
        <v>10</v>
      </c>
      <c r="E11" s="3">
        <v>10</v>
      </c>
      <c r="F11" s="3">
        <v>10</v>
      </c>
      <c r="J11" s="40"/>
      <c r="K11" s="5"/>
      <c r="L11" s="41"/>
    </row>
    <row r="12" spans="1:12" x14ac:dyDescent="0.2">
      <c r="A12" s="3">
        <v>2024</v>
      </c>
      <c r="B12" s="3">
        <v>11</v>
      </c>
      <c r="C12" s="3">
        <v>11</v>
      </c>
      <c r="D12" s="3">
        <v>11</v>
      </c>
      <c r="E12" s="3">
        <v>11</v>
      </c>
      <c r="F12" s="3">
        <v>11</v>
      </c>
      <c r="J12" s="40"/>
      <c r="K12" s="5"/>
      <c r="L12" s="41"/>
    </row>
    <row r="13" spans="1:12" ht="13.5" thickBot="1" x14ac:dyDescent="0.25">
      <c r="A13" s="3">
        <v>2025</v>
      </c>
      <c r="B13" s="3">
        <v>12</v>
      </c>
      <c r="C13" s="3">
        <v>12</v>
      </c>
      <c r="D13" s="3">
        <v>12</v>
      </c>
      <c r="E13" s="3">
        <v>12</v>
      </c>
      <c r="F13" s="3">
        <v>12</v>
      </c>
      <c r="J13" s="42"/>
      <c r="K13" s="8"/>
      <c r="L13" s="43"/>
    </row>
    <row r="14" spans="1:12" x14ac:dyDescent="0.2">
      <c r="C14" s="3">
        <v>13</v>
      </c>
      <c r="D14" s="3">
        <v>13</v>
      </c>
      <c r="E14" s="3">
        <v>13</v>
      </c>
      <c r="F14" s="3">
        <v>13</v>
      </c>
      <c r="K14" s="5"/>
      <c r="L14" s="5"/>
    </row>
    <row r="15" spans="1:12" x14ac:dyDescent="0.2">
      <c r="C15" s="3">
        <v>14</v>
      </c>
      <c r="D15" s="3">
        <v>14</v>
      </c>
      <c r="E15" s="3">
        <v>14</v>
      </c>
      <c r="F15" s="3">
        <v>14</v>
      </c>
    </row>
    <row r="16" spans="1:12" x14ac:dyDescent="0.2">
      <c r="C16" s="3">
        <v>15</v>
      </c>
      <c r="D16" s="3">
        <v>15</v>
      </c>
      <c r="E16" s="3">
        <v>15</v>
      </c>
      <c r="F16" s="3">
        <v>15</v>
      </c>
    </row>
    <row r="17" spans="3:6" x14ac:dyDescent="0.2">
      <c r="C17" s="3">
        <v>16</v>
      </c>
      <c r="D17" s="3">
        <v>16</v>
      </c>
      <c r="E17" s="3">
        <v>16</v>
      </c>
      <c r="F17" s="3">
        <v>16</v>
      </c>
    </row>
    <row r="18" spans="3:6" x14ac:dyDescent="0.2">
      <c r="C18" s="3">
        <v>17</v>
      </c>
      <c r="D18" s="3">
        <v>17</v>
      </c>
      <c r="E18" s="3">
        <v>17</v>
      </c>
      <c r="F18" s="3">
        <v>17</v>
      </c>
    </row>
    <row r="19" spans="3:6" x14ac:dyDescent="0.2">
      <c r="C19" s="3">
        <v>18</v>
      </c>
      <c r="D19" s="3">
        <v>18</v>
      </c>
      <c r="E19" s="3">
        <v>18</v>
      </c>
      <c r="F19" s="3">
        <v>18</v>
      </c>
    </row>
    <row r="20" spans="3:6" x14ac:dyDescent="0.2">
      <c r="C20" s="3">
        <v>19</v>
      </c>
      <c r="D20" s="3">
        <v>19</v>
      </c>
      <c r="E20" s="3">
        <v>19</v>
      </c>
      <c r="F20" s="3">
        <v>19</v>
      </c>
    </row>
    <row r="21" spans="3:6" x14ac:dyDescent="0.2">
      <c r="C21" s="3">
        <v>20</v>
      </c>
      <c r="D21" s="3">
        <v>20</v>
      </c>
      <c r="E21" s="3">
        <v>20</v>
      </c>
      <c r="F21" s="3">
        <v>20</v>
      </c>
    </row>
    <row r="22" spans="3:6" x14ac:dyDescent="0.2">
      <c r="C22" s="3">
        <v>21</v>
      </c>
      <c r="D22" s="3">
        <v>21</v>
      </c>
      <c r="E22" s="3">
        <v>21</v>
      </c>
      <c r="F22" s="3">
        <v>21</v>
      </c>
    </row>
    <row r="23" spans="3:6" x14ac:dyDescent="0.2">
      <c r="C23" s="3">
        <v>22</v>
      </c>
      <c r="D23" s="3">
        <v>22</v>
      </c>
      <c r="E23" s="3">
        <v>22</v>
      </c>
      <c r="F23" s="3">
        <v>22</v>
      </c>
    </row>
    <row r="24" spans="3:6" x14ac:dyDescent="0.2">
      <c r="C24" s="3">
        <v>23</v>
      </c>
      <c r="D24" s="3">
        <v>23</v>
      </c>
      <c r="E24" s="3">
        <v>23</v>
      </c>
      <c r="F24" s="3">
        <v>23</v>
      </c>
    </row>
    <row r="25" spans="3:6" x14ac:dyDescent="0.2">
      <c r="C25" s="3">
        <v>24</v>
      </c>
      <c r="D25" s="3">
        <v>24</v>
      </c>
      <c r="E25" s="3">
        <v>24</v>
      </c>
      <c r="F25" s="3">
        <v>24</v>
      </c>
    </row>
    <row r="26" spans="3:6" x14ac:dyDescent="0.2">
      <c r="C26" s="3">
        <v>25</v>
      </c>
      <c r="D26" s="3">
        <v>25</v>
      </c>
      <c r="E26" s="3">
        <v>25</v>
      </c>
      <c r="F26" s="3">
        <v>25</v>
      </c>
    </row>
    <row r="27" spans="3:6" x14ac:dyDescent="0.2">
      <c r="C27" s="3">
        <v>26</v>
      </c>
      <c r="D27" s="3">
        <v>26</v>
      </c>
      <c r="E27" s="3">
        <v>26</v>
      </c>
      <c r="F27" s="3">
        <v>26</v>
      </c>
    </row>
    <row r="28" spans="3:6" x14ac:dyDescent="0.2">
      <c r="C28" s="3">
        <v>27</v>
      </c>
      <c r="D28" s="3">
        <v>27</v>
      </c>
      <c r="E28" s="3">
        <v>27</v>
      </c>
      <c r="F28" s="3">
        <v>27</v>
      </c>
    </row>
    <row r="29" spans="3:6" x14ac:dyDescent="0.2">
      <c r="C29" s="3">
        <v>28</v>
      </c>
      <c r="D29" s="3">
        <v>28</v>
      </c>
      <c r="E29" s="3">
        <v>28</v>
      </c>
      <c r="F29" s="3">
        <v>28</v>
      </c>
    </row>
    <row r="30" spans="3:6" x14ac:dyDescent="0.2">
      <c r="C30" s="3">
        <v>29</v>
      </c>
      <c r="D30" s="3">
        <v>29</v>
      </c>
      <c r="E30" s="3">
        <v>29</v>
      </c>
    </row>
    <row r="31" spans="3:6" x14ac:dyDescent="0.2">
      <c r="C31" s="3">
        <v>30</v>
      </c>
      <c r="D31" s="3">
        <v>30</v>
      </c>
    </row>
    <row r="32" spans="3:6" x14ac:dyDescent="0.2">
      <c r="C32" s="3">
        <v>31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boBox2">
          <controlPr defaultSize="0" autoLine="0" listFillRange="Ranges!$B$2:$B$32" r:id="rId4">
            <anchor moveWithCells="1">
              <from>
                <xdr:col>10</xdr:col>
                <xdr:colOff>523875</xdr:colOff>
                <xdr:row>6</xdr:row>
                <xdr:rowOff>66675</xdr:rowOff>
              </from>
              <to>
                <xdr:col>11</xdr:col>
                <xdr:colOff>495300</xdr:colOff>
                <xdr:row>8</xdr:row>
                <xdr:rowOff>0</xdr:rowOff>
              </to>
            </anchor>
          </controlPr>
        </control>
      </mc:Choice>
      <mc:Fallback>
        <control shapeId="6146" r:id="rId3" name="ComboBox2"/>
      </mc:Fallback>
    </mc:AlternateContent>
    <mc:AlternateContent xmlns:mc="http://schemas.openxmlformats.org/markup-compatibility/2006">
      <mc:Choice Requires="x14">
        <control shapeId="6145" r:id="rId5" name="ComboBox1">
          <controlPr defaultSize="0" autoLine="0" listFillRange="Ranges!$A$2:$A$11" r:id="rId6">
            <anchor>
              <from>
                <xdr:col>9</xdr:col>
                <xdr:colOff>171450</xdr:colOff>
                <xdr:row>6</xdr:row>
                <xdr:rowOff>57150</xdr:rowOff>
              </from>
              <to>
                <xdr:col>10</xdr:col>
                <xdr:colOff>295275</xdr:colOff>
                <xdr:row>8</xdr:row>
                <xdr:rowOff>19050</xdr:rowOff>
              </to>
            </anchor>
          </controlPr>
        </control>
      </mc:Choice>
      <mc:Fallback>
        <control shapeId="6145" r:id="rId5" name="ComboBox1"/>
      </mc:Fallback>
    </mc:AlternateContent>
    <mc:AlternateContent xmlns:mc="http://schemas.openxmlformats.org/markup-compatibility/2006">
      <mc:Choice Requires="x14">
        <control shapeId="6147" r:id="rId7" name="Button 3">
          <controlPr defaultSize="0" print="0" autoFill="0" autoPict="0" macro="[1]!obtainData">
            <anchor>
              <from>
                <xdr:col>9</xdr:col>
                <xdr:colOff>171450</xdr:colOff>
                <xdr:row>9</xdr:row>
                <xdr:rowOff>0</xdr:rowOff>
              </from>
              <to>
                <xdr:col>11</xdr:col>
                <xdr:colOff>285750</xdr:colOff>
                <xdr:row>11</xdr:row>
                <xdr:rowOff>57150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0"/>
  <sheetViews>
    <sheetView workbookViewId="0">
      <selection activeCell="I18" sqref="I18"/>
    </sheetView>
  </sheetViews>
  <sheetFormatPr defaultColWidth="9.140625" defaultRowHeight="18" customHeight="1" x14ac:dyDescent="0.25"/>
  <cols>
    <col min="1" max="16384" width="9.140625" style="1"/>
  </cols>
  <sheetData>
    <row r="10" spans="2:2" ht="18" customHeight="1" x14ac:dyDescent="0.25">
      <c r="B10" s="54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Readings</vt:lpstr>
      <vt:lpstr>Overtime</vt:lpstr>
      <vt:lpstr>Results</vt:lpstr>
      <vt:lpstr>Settings</vt:lpstr>
      <vt:lpstr>Ranges</vt:lpstr>
      <vt:lpstr>Sheet1</vt:lpstr>
      <vt:lpstr>Day28List</vt:lpstr>
      <vt:lpstr>Day29List</vt:lpstr>
      <vt:lpstr>Day30List</vt:lpstr>
      <vt:lpstr>Day31List</vt:lpstr>
      <vt:lpstr>MonthList</vt:lpstr>
      <vt:lpstr>Overtime!Print_Area</vt:lpstr>
      <vt:lpstr>Results!Print_Area</vt:lpstr>
      <vt:lpstr>Overtime!Print_Titles</vt:lpstr>
      <vt:lpstr>YearList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Weng Long Pang</cp:lastModifiedBy>
  <cp:lastPrinted>2015-02-28T14:06:58Z</cp:lastPrinted>
  <dcterms:created xsi:type="dcterms:W3CDTF">2011-08-25T14:29:57Z</dcterms:created>
  <dcterms:modified xsi:type="dcterms:W3CDTF">2015-02-28T14:07:13Z</dcterms:modified>
</cp:coreProperties>
</file>